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2BF4750-311D-4968-B3A6-B76474E476E5}" xr6:coauthVersionLast="47" xr6:coauthVersionMax="47" xr10:uidLastSave="{00000000-0000-0000-0000-000000000000}"/>
  <bookViews>
    <workbookView xWindow="-120" yWindow="-120" windowWidth="20730" windowHeight="11760" activeTab="1" xr2:uid="{A8EBC3E3-A291-46E9-A551-4A8E017844A5}"/>
  </bookViews>
  <sheets>
    <sheet name=" DATASET CONTEXT" sheetId="2" r:id="rId1"/>
    <sheet name="Task 1" sheetId="4" r:id="rId2"/>
    <sheet name="Task 2" sheetId="5" r:id="rId3"/>
  </sheets>
  <definedNames>
    <definedName name="_xlnm._FilterDatabase" localSheetId="1" hidden="1">'Task 1'!$A$1:$L$121</definedName>
  </definedName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4" l="1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2" i="4"/>
  <c r="N23" i="4"/>
  <c r="N24" i="4"/>
  <c r="N25" i="4"/>
  <c r="N26" i="4"/>
  <c r="N28" i="4"/>
  <c r="N29" i="4"/>
  <c r="N30" i="4"/>
  <c r="N31" i="4"/>
  <c r="N32" i="4"/>
  <c r="N34" i="4"/>
  <c r="N36" i="4"/>
  <c r="N37" i="4"/>
  <c r="N38" i="4"/>
  <c r="N39" i="4"/>
  <c r="N40" i="4"/>
  <c r="N41" i="4"/>
  <c r="N42" i="4"/>
  <c r="N43" i="4"/>
  <c r="N44" i="4"/>
  <c r="N45" i="4"/>
  <c r="N47" i="4"/>
  <c r="N48" i="4"/>
  <c r="N49" i="4"/>
  <c r="N51" i="4"/>
  <c r="N52" i="4"/>
  <c r="N53" i="4"/>
  <c r="N54" i="4"/>
  <c r="N56" i="4"/>
  <c r="N57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7" i="4"/>
  <c r="N78" i="4"/>
  <c r="N79" i="4"/>
  <c r="N80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6" i="4"/>
  <c r="N97" i="4"/>
  <c r="N98" i="4"/>
  <c r="N99" i="4"/>
  <c r="N101" i="4"/>
  <c r="N102" i="4"/>
  <c r="N103" i="4"/>
  <c r="N104" i="4"/>
  <c r="N106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3" i="4"/>
  <c r="I28" i="5"/>
  <c r="N76" i="4" s="1"/>
  <c r="I29" i="5"/>
  <c r="N4" i="4" s="1"/>
  <c r="I30" i="5"/>
  <c r="N81" i="4" s="1"/>
  <c r="I31" i="5"/>
  <c r="N46" i="4" s="1"/>
  <c r="I32" i="5"/>
  <c r="N105" i="4" s="1"/>
  <c r="I33" i="5"/>
  <c r="N27" i="4" s="1"/>
  <c r="I34" i="5"/>
  <c r="N107" i="4" s="1"/>
  <c r="I35" i="5"/>
  <c r="N33" i="4" s="1"/>
  <c r="I36" i="5"/>
  <c r="N95" i="4" s="1"/>
  <c r="I37" i="5"/>
  <c r="N21" i="4" s="1"/>
  <c r="I38" i="5"/>
  <c r="N100" i="4" s="1"/>
  <c r="I39" i="5"/>
  <c r="I40" i="5"/>
  <c r="N58" i="4" s="1"/>
  <c r="I41" i="5"/>
  <c r="N55" i="4" s="1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2" i="4"/>
  <c r="L7" i="4"/>
  <c r="L3" i="4"/>
  <c r="L4" i="4"/>
  <c r="L5" i="4"/>
  <c r="L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2" i="4"/>
  <c r="N35" i="4" l="1"/>
  <c r="N50" i="4"/>
  <c r="C2" i="4" l="1" a="1"/>
  <c r="L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14E07-793F-497C-A998-7431A5D98BE2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<sst xmlns="http://schemas.openxmlformats.org/spreadsheetml/2006/main" count="577" uniqueCount="291">
  <si>
    <t>Customer ID </t>
  </si>
  <si>
    <t>Tx Date </t>
  </si>
  <si>
    <t>Region </t>
  </si>
  <si>
    <t>Category </t>
  </si>
  <si>
    <t>Qty </t>
  </si>
  <si>
    <t>Signup Date</t>
  </si>
  <si>
    <t>TXN-10001 </t>
  </si>
  <si>
    <t>CUST-4170 </t>
  </si>
  <si>
    <t>East </t>
  </si>
  <si>
    <t>Hardware </t>
  </si>
  <si>
    <t>TXN-10002 </t>
  </si>
  <si>
    <t>CUST-6088 </t>
  </si>
  <si>
    <t>North </t>
  </si>
  <si>
    <t>Office Supplies </t>
  </si>
  <si>
    <t>TXN-10003 </t>
  </si>
  <si>
    <t>CUST-7265 </t>
  </si>
  <si>
    <t>TXN-10004 </t>
  </si>
  <si>
    <t>CUST-4073 </t>
  </si>
  <si>
    <t>South </t>
  </si>
  <si>
    <t>Furniture </t>
  </si>
  <si>
    <t>TXN-10005 </t>
  </si>
  <si>
    <t>CUST-8270 </t>
  </si>
  <si>
    <t>Software </t>
  </si>
  <si>
    <t>TXN-10006 </t>
  </si>
  <si>
    <t>CUST-4104 </t>
  </si>
  <si>
    <t>TXN-10007 </t>
  </si>
  <si>
    <t>CUST-8683 </t>
  </si>
  <si>
    <t>West </t>
  </si>
  <si>
    <t>TXN-10008 </t>
  </si>
  <si>
    <t>CUST-6977 </t>
  </si>
  <si>
    <t>TXN-10009 </t>
  </si>
  <si>
    <t>CUST-4840 </t>
  </si>
  <si>
    <t>TXN-10010 </t>
  </si>
  <si>
    <t>CUST-3975 </t>
  </si>
  <si>
    <t>TXN-10011 </t>
  </si>
  <si>
    <t>CUST-5658 </t>
  </si>
  <si>
    <t>Electronics </t>
  </si>
  <si>
    <t>TXN-10012 </t>
  </si>
  <si>
    <t>CUST-3931 </t>
  </si>
  <si>
    <t>TXN-10013 </t>
  </si>
  <si>
    <t>CUST-4354 </t>
  </si>
  <si>
    <t>TXN-10014 </t>
  </si>
  <si>
    <t>CUST-6134 </t>
  </si>
  <si>
    <t>TXN-10015 </t>
  </si>
  <si>
    <t>TXN-10016 </t>
  </si>
  <si>
    <t>CUST-7019 </t>
  </si>
  <si>
    <t>TXN-10017 </t>
  </si>
  <si>
    <t>CUST-9666 </t>
  </si>
  <si>
    <t>TXN-10018 </t>
  </si>
  <si>
    <t>CUST-2528 </t>
  </si>
  <si>
    <t>TXN-10019 </t>
  </si>
  <si>
    <t>CUST-1775 </t>
  </si>
  <si>
    <t>TXN-10020 </t>
  </si>
  <si>
    <t>CUST-3747 </t>
  </si>
  <si>
    <t>TXN-10021 </t>
  </si>
  <si>
    <t>CUST-2678 </t>
  </si>
  <si>
    <t>TXN-10022 </t>
  </si>
  <si>
    <t>CUST-4763 </t>
  </si>
  <si>
    <t>TXN-10023 </t>
  </si>
  <si>
    <t>CUST-5973 </t>
  </si>
  <si>
    <t>TXN-10024 </t>
  </si>
  <si>
    <t>CUST-3511 </t>
  </si>
  <si>
    <t>TXN-10025 </t>
  </si>
  <si>
    <t>CUST-6539 </t>
  </si>
  <si>
    <t>TXN-10026 </t>
  </si>
  <si>
    <t>CUST-3047 </t>
  </si>
  <si>
    <t>TXN-10027 </t>
  </si>
  <si>
    <t>TXN-10028 </t>
  </si>
  <si>
    <t>CUST-6056 </t>
  </si>
  <si>
    <t>TXN-10029 </t>
  </si>
  <si>
    <t>CUST-7197 </t>
  </si>
  <si>
    <t>TXN-10030 </t>
  </si>
  <si>
    <t>TXN-10031 </t>
  </si>
  <si>
    <t>CUST-4890 </t>
  </si>
  <si>
    <t>TXN-10032 </t>
  </si>
  <si>
    <t>CUST-3693 </t>
  </si>
  <si>
    <t>TXN-10033 </t>
  </si>
  <si>
    <t>CUST-3976 </t>
  </si>
  <si>
    <t>TXN-10034 </t>
  </si>
  <si>
    <t>CUST-3790 </t>
  </si>
  <si>
    <t>TXN-10035 </t>
  </si>
  <si>
    <t>TXN-10036 </t>
  </si>
  <si>
    <t>CUST-4436 </t>
  </si>
  <si>
    <t>TXN-10037 </t>
  </si>
  <si>
    <t>CUST-7949 </t>
  </si>
  <si>
    <t>TXN-10038 </t>
  </si>
  <si>
    <t>CUST-8022 </t>
  </si>
  <si>
    <t>TXN-10039 </t>
  </si>
  <si>
    <t>CUST-1098 </t>
  </si>
  <si>
    <t>TXN-10040 </t>
  </si>
  <si>
    <t>CUST-4556 </t>
  </si>
  <si>
    <t>TXN-10041 </t>
  </si>
  <si>
    <t>TXN-10042 </t>
  </si>
  <si>
    <t>CUST-3062 </t>
  </si>
  <si>
    <t>TXN-10043 </t>
  </si>
  <si>
    <t>CUST-6442 </t>
  </si>
  <si>
    <t>TXN-10044 </t>
  </si>
  <si>
    <t>CUST-2016 </t>
  </si>
  <si>
    <t>TXN-10045 </t>
  </si>
  <si>
    <t>CUST-2028 </t>
  </si>
  <si>
    <t>TXN-10046 </t>
  </si>
  <si>
    <t>CUST-5218 </t>
  </si>
  <si>
    <t>TXN-10047 </t>
  </si>
  <si>
    <t>TXN-10048 </t>
  </si>
  <si>
    <t>CUST-4327 </t>
  </si>
  <si>
    <t>TXN-10049 </t>
  </si>
  <si>
    <t>TXN-10050 </t>
  </si>
  <si>
    <t>CUST-7585 </t>
  </si>
  <si>
    <t>TXN-10051 </t>
  </si>
  <si>
    <t>TXN-10052 </t>
  </si>
  <si>
    <t>CUST-4748 </t>
  </si>
  <si>
    <t>TXN-10053 </t>
  </si>
  <si>
    <t>CUST-7776 </t>
  </si>
  <si>
    <t>TXN-10054 </t>
  </si>
  <si>
    <t>CUST-6249 </t>
  </si>
  <si>
    <t>TXN-10055 </t>
  </si>
  <si>
    <t>CUST-1502 </t>
  </si>
  <si>
    <t>TXN-10056 </t>
  </si>
  <si>
    <t>TXN-10057 </t>
  </si>
  <si>
    <t>CUST-1206 </t>
  </si>
  <si>
    <t>TXN-10058 </t>
  </si>
  <si>
    <t>CUST-1663 </t>
  </si>
  <si>
    <t>TXN-10059 </t>
  </si>
  <si>
    <t>TXN-10060 </t>
  </si>
  <si>
    <t>CUST-9155 </t>
  </si>
  <si>
    <t>TXN-10061 </t>
  </si>
  <si>
    <t>CUST-5496 </t>
  </si>
  <si>
    <t>TXN-10062 </t>
  </si>
  <si>
    <t>CUST-8280 </t>
  </si>
  <si>
    <t>TXN-10063 </t>
  </si>
  <si>
    <t>CUST-4152 </t>
  </si>
  <si>
    <t>TXN-10064 </t>
  </si>
  <si>
    <t>TXN-10065 </t>
  </si>
  <si>
    <t>CUST-9120 </t>
  </si>
  <si>
    <t>TXN-10066 </t>
  </si>
  <si>
    <t>CUST-9901 </t>
  </si>
  <si>
    <t>TXN-10067 </t>
  </si>
  <si>
    <t>CUST-8721 </t>
  </si>
  <si>
    <t>TXN-10068 </t>
  </si>
  <si>
    <t>CUST-4843 </t>
  </si>
  <si>
    <t>TXN-10069 </t>
  </si>
  <si>
    <t>CUST-7736 </t>
  </si>
  <si>
    <t>TXN-10070 </t>
  </si>
  <si>
    <t>CUST-5911 </t>
  </si>
  <si>
    <t>TXN-10071 </t>
  </si>
  <si>
    <t>CUST-7015 </t>
  </si>
  <si>
    <t>TXN-10072 </t>
  </si>
  <si>
    <t>CUST-9319 </t>
  </si>
  <si>
    <t>TXN-10073 </t>
  </si>
  <si>
    <t>CUST-3327 </t>
  </si>
  <si>
    <t>TXN-10074 </t>
  </si>
  <si>
    <t>CUST-8994 </t>
  </si>
  <si>
    <t>TXN-10075 </t>
  </si>
  <si>
    <t>CUST-6463 </t>
  </si>
  <si>
    <t>TXN-10076 </t>
  </si>
  <si>
    <t>CUST-8098 </t>
  </si>
  <si>
    <t>TXN-10077 </t>
  </si>
  <si>
    <t>CUST-2154 </t>
  </si>
  <si>
    <t>TXN-10078 </t>
  </si>
  <si>
    <t>CUST-9680 </t>
  </si>
  <si>
    <t>TXN-10079 </t>
  </si>
  <si>
    <t>CUST-6578 </t>
  </si>
  <si>
    <t>TXN-10080 </t>
  </si>
  <si>
    <t>CUST-6592 </t>
  </si>
  <si>
    <t>TXN-10081 </t>
  </si>
  <si>
    <t>CUST-6854 </t>
  </si>
  <si>
    <t>TXN-10082 </t>
  </si>
  <si>
    <t>TXN-10083 </t>
  </si>
  <si>
    <t>CUST-1189 </t>
  </si>
  <si>
    <t>TXN-10084 </t>
  </si>
  <si>
    <t>CUST-2707 </t>
  </si>
  <si>
    <t>TXN-10085 </t>
  </si>
  <si>
    <t>CUST-1659 </t>
  </si>
  <si>
    <t>TXN-10086 </t>
  </si>
  <si>
    <t>TXN-10087 </t>
  </si>
  <si>
    <t>CUST-9996 </t>
  </si>
  <si>
    <t>TXN-10088 </t>
  </si>
  <si>
    <t>TXN-10089 </t>
  </si>
  <si>
    <t>CUST-2843 </t>
  </si>
  <si>
    <t>TXN-10090 </t>
  </si>
  <si>
    <t>CUST-9815 </t>
  </si>
  <si>
    <t>TXN-10091 </t>
  </si>
  <si>
    <t>TXN-10092 </t>
  </si>
  <si>
    <t>CUST-7420 </t>
  </si>
  <si>
    <t>TXN-10093 </t>
  </si>
  <si>
    <t>CUST-5893 </t>
  </si>
  <si>
    <t>TXN-10094 </t>
  </si>
  <si>
    <t>CUST-6892 </t>
  </si>
  <si>
    <t>TXN-10095 </t>
  </si>
  <si>
    <t>CUST-2184 </t>
  </si>
  <si>
    <t>TXN-10096 </t>
  </si>
  <si>
    <t>CUST-2218 </t>
  </si>
  <si>
    <t>TXN-10097 </t>
  </si>
  <si>
    <t>CUST-1262 </t>
  </si>
  <si>
    <t>TXN-10098 </t>
  </si>
  <si>
    <t>TXN-10099 </t>
  </si>
  <si>
    <t>CUST-7668 </t>
  </si>
  <si>
    <t>TXN-10100 </t>
  </si>
  <si>
    <t>CUST-6311 </t>
  </si>
  <si>
    <t>TXN-10101 </t>
  </si>
  <si>
    <t>TXN-10102 </t>
  </si>
  <si>
    <t>CUST-7528 </t>
  </si>
  <si>
    <t>TXN-10103 </t>
  </si>
  <si>
    <t>CUST-9792 </t>
  </si>
  <si>
    <t>TXN-10104 </t>
  </si>
  <si>
    <t>CUST-8777 </t>
  </si>
  <si>
    <t>TXN-10105 </t>
  </si>
  <si>
    <t>CUST-7439 </t>
  </si>
  <si>
    <t>TXN-10106 </t>
  </si>
  <si>
    <t>CUST-6530 </t>
  </si>
  <si>
    <t>TXN-10107 </t>
  </si>
  <si>
    <t>CUST-2306 </t>
  </si>
  <si>
    <t>TXN-10108 </t>
  </si>
  <si>
    <t>CUST-1569 </t>
  </si>
  <si>
    <t>TXN-10109 </t>
  </si>
  <si>
    <t>CUST-3911 </t>
  </si>
  <si>
    <t>TXN-10110 </t>
  </si>
  <si>
    <t>CUST-9352 </t>
  </si>
  <si>
    <t>TXN-10111 </t>
  </si>
  <si>
    <t>CUST-3869 </t>
  </si>
  <si>
    <t>TXN-10112 </t>
  </si>
  <si>
    <t>TXN-10113 </t>
  </si>
  <si>
    <t>CUST-1202 </t>
  </si>
  <si>
    <t>TXN-10114 </t>
  </si>
  <si>
    <t>CUST-9755 </t>
  </si>
  <si>
    <t>TXN-10115 </t>
  </si>
  <si>
    <t>CUST-8996 </t>
  </si>
  <si>
    <t>TXN-10116 </t>
  </si>
  <si>
    <t>TXN-10117 </t>
  </si>
  <si>
    <t>CUST-8574 </t>
  </si>
  <si>
    <t>TXN-10118 </t>
  </si>
  <si>
    <t>CUST-9838 </t>
  </si>
  <si>
    <t>TXN-10119 </t>
  </si>
  <si>
    <t>CUST-9433 </t>
  </si>
  <si>
    <t>TXN-10120 </t>
  </si>
  <si>
    <t>Transaction ID</t>
  </si>
  <si>
    <t>transaction_id</t>
  </si>
  <si>
    <t>String</t>
  </si>
  <si>
    <t>customer_id</t>
  </si>
  <si>
    <t>transaction_date</t>
  </si>
  <si>
    <t>Datetime</t>
  </si>
  <si>
    <t>region</t>
  </si>
  <si>
    <t>product_category</t>
  </si>
  <si>
    <t>Numeric</t>
  </si>
  <si>
    <t>discount_percent</t>
  </si>
  <si>
    <t>customer_signup_date</t>
  </si>
  <si>
    <t>Field Name</t>
  </si>
  <si>
    <t>DataType</t>
  </si>
  <si>
    <t>String/PK</t>
  </si>
  <si>
    <t>String/FK</t>
  </si>
  <si>
    <t>unit_price/quantity</t>
  </si>
  <si>
    <t>Numeric(0–1)</t>
  </si>
  <si>
    <t>Description/Business Rule</t>
  </si>
  <si>
    <t>Timestamp of purchase order execution</t>
  </si>
  <si>
    <t>Geographic sales territory (North,South,East,West)</t>
  </si>
  <si>
    <t>Product line classification.</t>
  </si>
  <si>
    <t>Unique identifier per sales record.</t>
  </si>
  <si>
    <t>Unique customer identifier.</t>
  </si>
  <si>
    <t>Base unit price and volume ordered</t>
  </si>
  <si>
    <t>Discount applied at checkout</t>
  </si>
  <si>
    <t>Original account  creation</t>
  </si>
  <si>
    <t>EXECUTIVE OVERVIEW &amp; DATASET CONTEXT</t>
  </si>
  <si>
    <t>Net Revenue</t>
  </si>
  <si>
    <t>Unit Price</t>
  </si>
  <si>
    <t>Customer Tag</t>
  </si>
  <si>
    <t>Row Labels</t>
  </si>
  <si>
    <t>Product Categories Driving Net Revenue in each 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</si>
  <si>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</si>
  <si>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</si>
  <si>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</si>
  <si>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</si>
  <si>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</si>
  <si>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</si>
  <si>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</si>
  <si>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</si>
  <si>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</si>
  <si>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</si>
  <si>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</si>
  <si>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</si>
  <si>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Month-over-Month (MoM) revenue growth rates</t>
  </si>
  <si>
    <t xml:space="preserve"> Net Revenue</t>
  </si>
  <si>
    <t>Month</t>
  </si>
  <si>
    <t>Region</t>
  </si>
  <si>
    <t>MoM Growth%</t>
  </si>
  <si>
    <t xml:space="preserve"> Gross Revenue</t>
  </si>
  <si>
    <t xml:space="preserve">Discount Amount </t>
  </si>
  <si>
    <t xml:space="preserve">Sum of Discount Amount </t>
  </si>
  <si>
    <t>Sum of  Gross Revenue</t>
  </si>
  <si>
    <t>Sum of Discount Rate</t>
  </si>
  <si>
    <t>Risk Flag</t>
  </si>
  <si>
    <t>Discount 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</si>
</sst>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;[Red]\-0.0%;&quot;-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7" tint="0.79998168889431442"/>
      </top>
      <bottom/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theme="3" tint="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0" fillId="0" borderId="1" xfId="0" applyBorder="1"/>
    <xf numFmtId="0" fontId="3" fillId="2" borderId="1" xfId="0" applyFont="1" applyFill="1" applyBorder="1"/>
    <xf numFmtId="0" fontId="3" fillId="0" borderId="0" xfId="0" applyFont="1"/>
    <xf numFmtId="2" fontId="3" fillId="0" borderId="0" xfId="0" applyNumberFormat="1" applyFont="1"/>
    <xf numFmtId="2" fontId="0" fillId="0" borderId="0" xfId="0" applyNumberFormat="1"/>
    <xf numFmtId="44" fontId="0" fillId="0" borderId="0" xfId="1" applyFont="1"/>
    <xf numFmtId="14" fontId="3" fillId="0" borderId="0" xfId="0" applyNumberFormat="1" applyFont="1"/>
    <xf numFmtId="44" fontId="0" fillId="0" borderId="0" xfId="0" applyNumberFormat="1"/>
    <xf numFmtId="0" fontId="0" fillId="0" borderId="0" xfId="0" pivotButton="1"/>
    <xf numFmtId="0" fontId="4" fillId="3" borderId="0" xfId="0" applyFont="1" applyFill="1"/>
    <xf numFmtId="0" fontId="4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3" fillId="6" borderId="6" xfId="0" applyFont="1" applyFill="1" applyBorder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0" fillId="0" borderId="0" xfId="0" applyAlignment="1">
      <alignment horizontal="left" indent="1"/>
    </xf>
    <xf numFmtId="44" fontId="0" fillId="5" borderId="0" xfId="0" applyNumberFormat="1" applyFill="1"/>
    <xf numFmtId="0" fontId="0" fillId="5" borderId="0" xfId="0" applyFill="1" applyAlignment="1">
      <alignment horizontal="left"/>
    </xf>
    <xf numFmtId="0" fontId="4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67">
    <dxf>
      <numFmt numFmtId="13" formatCode="0%"/>
    </dxf>
    <dxf>
      <numFmt numFmtId="13" formatCode="0%"/>
    </dxf>
    <dxf>
      <numFmt numFmtId="2" formatCode="0.00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0.0%;[Red]\-0.0%;&quot;-&quot;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numFmt numFmtId="2" formatCode="0.00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0.0%;[Red]\-0.0%;&quot;-&quot;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numFmt numFmtId="2" formatCode="0.00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0.0%;[Red]\-0.0%;&quot;-&quot;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numFmt numFmtId="2" formatCode="0.00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0.0%;[Red]\-0.0%;&quot;-&quot;"/>
    </dxf>
    <dxf>
      <alignment horizontal="center"/>
    </dxf>
    <dxf>
      <alignment horizontal="center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indent="0"/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/>
    </dxf>
    <dxf>
      <numFmt numFmtId="13" formatCode="0%"/>
    </dxf>
    <dxf>
      <alignment horizontal="center"/>
    </dxf>
    <dxf>
      <alignment horizontal="center"/>
    </dxf>
    <dxf>
      <numFmt numFmtId="164" formatCode="0.0%;[Red]\-0.0%;&quot;-&quot;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164" formatCode="0.0%;[Red]\-0.0%;&quot;-&quot;"/>
    </dxf>
    <dxf>
      <numFmt numFmtId="2" formatCode="0.00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EA74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ine " refreshedDate="46268.756856018517" createdVersion="8" refreshedVersion="8" minRefreshableVersion="3" recordCount="120" xr:uid="{3501EDD4-9414-45A5-A70D-98487A2C8A9E}">
  <cacheSource type="worksheet">
    <worksheetSource ref="A1:M121" sheet="Task 1"/>
  </cacheSource>
  <cacheFields count="16">
    <cacheField name="Transaction ID" numFmtId="0">
      <sharedItems/>
    </cacheField>
    <cacheField name="Customer ID " numFmtId="0">
      <sharedItems count="100">
        <s v="CUST-4170 "/>
        <s v="CUST-6088 "/>
        <s v="CUST-7265 "/>
        <s v="CUST-4073 "/>
        <s v="CUST-8270 "/>
        <s v="CUST-4104 "/>
        <s v="CUST-8683 "/>
        <s v="CUST-6977 "/>
        <s v="CUST-4840 "/>
        <s v="CUST-3975 "/>
        <s v="CUST-5658 "/>
        <s v="CUST-3931 "/>
        <s v="CUST-4354 "/>
        <s v="CUST-6134 "/>
        <s v="CUST-7019 "/>
        <s v="CUST-9666 "/>
        <s v="CUST-2528 "/>
        <s v="CUST-1775 "/>
        <s v="CUST-3747 "/>
        <s v="CUST-2678 "/>
        <s v="CUST-4763 "/>
        <s v="CUST-5973 "/>
        <s v="CUST-3511 "/>
        <s v="CUST-6539 "/>
        <s v="CUST-3047 "/>
        <s v="CUST-6056 "/>
        <s v="CUST-7197 "/>
        <s v="CUST-4890 "/>
        <s v="CUST-3693 "/>
        <s v="CUST-3976 "/>
        <s v="CUST-3790 "/>
        <s v="CUST-4436 "/>
        <s v="CUST-7949 "/>
        <s v="CUST-8022 "/>
        <s v="CUST-1098 "/>
        <s v="CUST-4556 "/>
        <s v="CUST-3062 "/>
        <s v="CUST-6442 "/>
        <s v="CUST-2016 "/>
        <s v="CUST-2028 "/>
        <s v="CUST-5218 "/>
        <s v="CUST-4327 "/>
        <s v="CUST-7585 "/>
        <s v="CUST-4748 "/>
        <s v="CUST-7776 "/>
        <s v="CUST-6249 "/>
        <s v="CUST-1502 "/>
        <s v="CUST-1206 "/>
        <s v="CUST-1663 "/>
        <s v="CUST-9155 "/>
        <s v="CUST-5496 "/>
        <s v="CUST-8280 "/>
        <s v="CUST-4152 "/>
        <s v="CUST-9120 "/>
        <s v="CUST-9901 "/>
        <s v="CUST-8721 "/>
        <s v="CUST-4843 "/>
        <s v="CUST-7736 "/>
        <s v="CUST-5911 "/>
        <s v="CUST-7015 "/>
        <s v="CUST-9319 "/>
        <s v="CUST-3327 "/>
        <s v="CUST-8994 "/>
        <s v="CUST-6463 "/>
        <s v="CUST-8098 "/>
        <s v="CUST-2154 "/>
        <s v="CUST-9680 "/>
        <s v="CUST-6578 "/>
        <s v="CUST-6592 "/>
        <s v="CUST-6854 "/>
        <s v="CUST-1189 "/>
        <s v="CUST-2707 "/>
        <s v="CUST-1659 "/>
        <s v="CUST-9996 "/>
        <s v="CUST-2843 "/>
        <s v="CUST-9815 "/>
        <s v="CUST-7420 "/>
        <s v="CUST-5893 "/>
        <s v="CUST-6892 "/>
        <s v="CUST-2184 "/>
        <s v="CUST-2218 "/>
        <s v="CUST-1262 "/>
        <s v="CUST-7668 "/>
        <s v="CUST-6311 "/>
        <s v="CUST-7528 "/>
        <s v="CUST-9792 "/>
        <s v="CUST-8777 "/>
        <s v="CUST-7439 "/>
        <s v="CUST-6530 "/>
        <s v="CUST-2306 "/>
        <s v="CUST-1569 "/>
        <s v="CUST-3911 "/>
        <s v="CUST-9352 "/>
        <s v="CUST-3869 "/>
        <s v="CUST-1202 "/>
        <s v="CUST-9755 "/>
        <s v="CUST-8996 "/>
        <s v="CUST-8574 "/>
        <s v="CUST-9838 "/>
        <s v="CUST-9433 "/>
      </sharedItems>
    </cacheField>
    <cacheField name="Tx Date " numFmtId="14">
      <sharedItems containsSemiMixedTypes="0" containsNonDate="0" containsDate="1" containsString="0" minDate="2025-01-16T00:00:00" maxDate="2026-01-01T00:00:00" count="94">
        <d v="2025-11-30T00:00:00"/>
        <d v="2025-09-06T00:00:00"/>
        <d v="2025-12-17T00:00:00"/>
        <d v="2025-12-31T00:00:00"/>
        <d v="2025-10-16T00:00:00"/>
        <d v="2025-08-15T00:00:00"/>
        <d v="2025-08-20T00:00:00"/>
        <d v="2025-10-14T00:00:00"/>
        <d v="2025-08-17T00:00:00"/>
        <d v="2025-03-23T00:00:00"/>
        <d v="2025-04-11T00:00:00"/>
        <d v="2025-05-20T00:00:00"/>
        <d v="2025-03-25T00:00:00"/>
        <d v="2025-09-10T00:00:00"/>
        <d v="2025-03-21T00:00:00"/>
        <d v="2025-06-28T00:00:00"/>
        <d v="2025-08-07T00:00:00"/>
        <d v="2025-03-01T00:00:00"/>
        <d v="2025-06-17T00:00:00"/>
        <d v="2025-06-03T00:00:00"/>
        <d v="2025-07-29T00:00:00"/>
        <d v="2025-08-13T00:00:00"/>
        <d v="2025-07-11T00:00:00"/>
        <d v="2025-05-27T00:00:00"/>
        <d v="2025-05-25T00:00:00"/>
        <d v="2025-08-25T00:00:00"/>
        <d v="2025-03-31T00:00:00"/>
        <d v="2025-11-06T00:00:00"/>
        <d v="2025-09-05T00:00:00"/>
        <d v="2025-08-12T00:00:00"/>
        <d v="2025-09-16T00:00:00"/>
        <d v="2025-09-25T00:00:00"/>
        <d v="2025-08-22T00:00:00"/>
        <d v="2025-07-12T00:00:00"/>
        <d v="2025-01-16T00:00:00"/>
        <d v="2025-03-05T00:00:00"/>
        <d v="2025-02-21T00:00:00"/>
        <d v="2025-06-20T00:00:00"/>
        <d v="2025-08-06T00:00:00"/>
        <d v="2025-05-16T00:00:00"/>
        <d v="2025-04-19T00:00:00"/>
        <d v="2025-02-01T00:00:00"/>
        <d v="2025-09-18T00:00:00"/>
        <d v="2025-04-27T00:00:00"/>
        <d v="2025-03-24T00:00:00"/>
        <d v="2025-09-13T00:00:00"/>
        <d v="2025-08-05T00:00:00"/>
        <d v="2025-09-20T00:00:00"/>
        <d v="2025-04-18T00:00:00"/>
        <d v="2025-08-11T00:00:00"/>
        <d v="2025-07-16T00:00:00"/>
        <d v="2025-06-11T00:00:00"/>
        <d v="2025-03-28T00:00:00"/>
        <d v="2025-02-26T00:00:00"/>
        <d v="2025-08-30T00:00:00"/>
        <d v="2025-05-31T00:00:00"/>
        <d v="2025-09-15T00:00:00"/>
        <d v="2025-11-02T00:00:00"/>
        <d v="2025-06-15T00:00:00"/>
        <d v="2025-09-17T00:00:00"/>
        <d v="2025-08-01T00:00:00"/>
        <d v="2025-07-20T00:00:00"/>
        <d v="2025-07-02T00:00:00"/>
        <d v="2025-07-08T00:00:00"/>
        <d v="2025-09-24T00:00:00"/>
        <d v="2025-10-12T00:00:00"/>
        <d v="2025-07-28T00:00:00"/>
        <d v="2025-08-18T00:00:00"/>
        <d v="2025-08-24T00:00:00"/>
        <d v="2025-10-17T00:00:00"/>
        <d v="2025-03-15T00:00:00"/>
        <d v="2025-10-13T00:00:00"/>
        <d v="2025-10-20T00:00:00"/>
        <d v="2025-01-30T00:00:00"/>
        <d v="2025-07-23T00:00:00"/>
        <d v="2025-09-28T00:00:00"/>
        <d v="2025-05-06T00:00:00"/>
        <d v="2025-09-07T00:00:00"/>
        <d v="2025-11-04T00:00:00"/>
        <d v="2025-07-26T00:00:00"/>
        <d v="2025-09-03T00:00:00"/>
        <d v="2025-03-19T00:00:00"/>
        <d v="2025-10-29T00:00:00"/>
        <d v="2025-08-26T00:00:00"/>
        <d v="2025-08-03T00:00:00"/>
        <d v="2025-12-12T00:00:00"/>
        <d v="2025-10-15T00:00:00"/>
        <d v="2025-03-17T00:00:00"/>
        <d v="2025-10-02T00:00:00"/>
        <d v="2025-06-06T00:00:00"/>
        <d v="2025-04-09T00:00:00"/>
        <d v="2025-11-26T00:00:00"/>
        <d v="2025-10-18T00:00:00"/>
        <d v="2025-02-11T00:00:00"/>
      </sharedItems>
      <fieldGroup par="14"/>
    </cacheField>
    <cacheField name="Region " numFmtId="0">
      <sharedItems/>
    </cacheField>
    <cacheField name="Category " numFmtId="0">
      <sharedItems/>
    </cacheField>
    <cacheField name="Unit Price" numFmtId="44">
      <sharedItems containsSemiMixedTypes="0" containsString="0" containsNumber="1" minValue="20.66" maxValue="448.54"/>
    </cacheField>
    <cacheField name="Qty " numFmtId="2">
      <sharedItems containsSemiMixedTypes="0" containsString="0" containsNumber="1" containsInteger="1" minValue="1" maxValue="14"/>
    </cacheField>
    <cacheField name="Discount " numFmtId="2">
      <sharedItems containsSemiMixedTypes="0" containsString="0" containsNumber="1" minValue="0" maxValue="0.3"/>
    </cacheField>
    <cacheField name="Signup Date" numFmtId="14">
      <sharedItems containsSemiMixedTypes="0" containsNonDate="0" containsDate="1" containsString="0" minDate="2025-01-01T00:00:00" maxDate="2025-10-27T00:00:00"/>
    </cacheField>
    <cacheField name=" Gross Revenue" numFmtId="44">
      <sharedItems containsSemiMixedTypes="0" containsString="0" containsNumber="1" minValue="31.02" maxValue="5402.54"/>
    </cacheField>
    <cacheField name="Net Revenue" numFmtId="44">
      <sharedItems containsSemiMixedTypes="0" containsString="0" containsNumber="1" minValue="24.816000000000003" maxValue="5402.54"/>
    </cacheField>
    <cacheField name="Customer Tag" numFmtId="0">
      <sharedItems/>
    </cacheField>
    <cacheField name="Discount Amount " numFmtId="44">
      <sharedItems containsSemiMixedTypes="0" containsString="0" containsNumber="1" minValue="0" maxValue="1206.972"/>
    </cacheField>
    <cacheField name="Days (Tx Date )" numFmtId="0" databaseField="0">
      <fieldGroup base="2">
        <rangePr groupBy="days" startDate="2025-01-16T00:00:00" endDate="2026-01-01T00:00:00"/>
        <groupItems count="368">
          <s v="&lt;1/16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Tx Date )" numFmtId="0" databaseField="0">
      <fieldGroup base="2">
        <rangePr groupBy="months" startDate="2025-01-16T00:00:00" endDate="2026-01-01T00:00:00"/>
        <groupItems count="14">
          <s v="&lt;1/16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Discount Rate" numFmtId="0" formula="'Discount Amount '/' Gross Reven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ine " refreshedDate="46269.666831481481" createdVersion="8" refreshedVersion="8" minRefreshableVersion="3" recordCount="120" xr:uid="{80312566-2D16-4D82-AA7F-F8C482E9D770}">
  <cacheSource type="worksheet">
    <worksheetSource ref="A1:L121" sheet="Task 1"/>
  </cacheSource>
  <cacheFields count="14">
    <cacheField name="Transaction ID" numFmtId="0">
      <sharedItems/>
    </cacheField>
    <cacheField name="Customer ID " numFmtId="0">
      <sharedItems/>
    </cacheField>
    <cacheField name="Tx Date " numFmtId="14">
      <sharedItems containsSemiMixedTypes="0" containsNonDate="0" containsDate="1" containsString="0" minDate="1899-12-30T00:00:00" maxDate="2026-01-01T00:00:00" count="94">
        <d v="1899-12-30T00:00:00"/>
        <d v="2025-09-06T00:00:00"/>
        <d v="2025-12-17T00:00:00"/>
        <d v="2025-12-31T00:00:00"/>
        <d v="2025-10-16T00:00:00"/>
        <d v="2025-08-15T00:00:00"/>
        <d v="2025-08-20T00:00:00"/>
        <d v="2025-10-14T00:00:00"/>
        <d v="2025-08-17T00:00:00"/>
        <d v="2025-03-23T00:00:00"/>
        <d v="2025-04-11T00:00:00"/>
        <d v="2025-05-20T00:00:00"/>
        <d v="2025-03-25T00:00:00"/>
        <d v="2025-09-10T00:00:00"/>
        <d v="2025-03-21T00:00:00"/>
        <d v="2025-06-28T00:00:00"/>
        <d v="2025-08-07T00:00:00"/>
        <d v="2025-03-01T00:00:00"/>
        <d v="2025-06-17T00:00:00"/>
        <d v="2025-06-03T00:00:00"/>
        <d v="2025-07-29T00:00:00"/>
        <d v="2025-08-13T00:00:00"/>
        <d v="2025-07-11T00:00:00"/>
        <d v="2025-05-27T00:00:00"/>
        <d v="2025-05-25T00:00:00"/>
        <d v="2025-08-25T00:00:00"/>
        <d v="2025-03-31T00:00:00"/>
        <d v="2025-11-06T00:00:00"/>
        <d v="2025-09-05T00:00:00"/>
        <d v="2025-08-12T00:00:00"/>
        <d v="2025-09-16T00:00:00"/>
        <d v="2025-09-25T00:00:00"/>
        <d v="2025-08-22T00:00:00"/>
        <d v="2025-07-12T00:00:00"/>
        <d v="2025-01-16T00:00:00"/>
        <d v="2025-03-05T00:00:00"/>
        <d v="2025-02-21T00:00:00"/>
        <d v="2025-06-20T00:00:00"/>
        <d v="2025-08-06T00:00:00"/>
        <d v="2025-05-16T00:00:00"/>
        <d v="2025-04-19T00:00:00"/>
        <d v="2025-02-01T00:00:00"/>
        <d v="2025-09-18T00:00:00"/>
        <d v="2025-04-27T00:00:00"/>
        <d v="2025-03-24T00:00:00"/>
        <d v="2025-09-13T00:00:00"/>
        <d v="2025-08-05T00:00:00"/>
        <d v="2025-09-20T00:00:00"/>
        <d v="2025-04-18T00:00:00"/>
        <d v="2025-08-11T00:00:00"/>
        <d v="2025-07-16T00:00:00"/>
        <d v="2025-06-11T00:00:00"/>
        <d v="2025-03-28T00:00:00"/>
        <d v="2025-02-26T00:00:00"/>
        <d v="2025-08-30T00:00:00"/>
        <d v="2025-05-31T00:00:00"/>
        <d v="2025-09-15T00:00:00"/>
        <d v="2025-11-02T00:00:00"/>
        <d v="2025-06-15T00:00:00"/>
        <d v="2025-09-17T00:00:00"/>
        <d v="2025-08-01T00:00:00"/>
        <d v="2025-07-20T00:00:00"/>
        <d v="2025-07-02T00:00:00"/>
        <d v="2025-07-08T00:00:00"/>
        <d v="2025-09-24T00:00:00"/>
        <d v="2025-10-12T00:00:00"/>
        <d v="2025-07-28T00:00:00"/>
        <d v="2025-08-18T00:00:00"/>
        <d v="2025-08-24T00:00:00"/>
        <d v="2025-10-17T00:00:00"/>
        <d v="2025-03-15T00:00:00"/>
        <d v="2025-10-13T00:00:00"/>
        <d v="2025-10-20T00:00:00"/>
        <d v="2025-01-30T00:00:00"/>
        <d v="2025-07-23T00:00:00"/>
        <d v="2025-09-28T00:00:00"/>
        <d v="2025-05-06T00:00:00"/>
        <d v="2025-09-07T00:00:00"/>
        <d v="2025-11-04T00:00:00"/>
        <d v="2025-07-26T00:00:00"/>
        <d v="2025-09-03T00:00:00"/>
        <d v="2025-03-19T00:00:00"/>
        <d v="2025-10-29T00:00:00"/>
        <d v="2025-08-26T00:00:00"/>
        <d v="2025-08-03T00:00:00"/>
        <d v="2025-12-12T00:00:00"/>
        <d v="2025-10-15T00:00:00"/>
        <d v="2025-03-17T00:00:00"/>
        <d v="2025-10-02T00:00:00"/>
        <d v="2025-06-06T00:00:00"/>
        <d v="2025-04-09T00:00:00"/>
        <d v="2025-11-26T00:00:00"/>
        <d v="2025-10-18T00:00:00"/>
        <d v="2025-02-11T00:00:00"/>
      </sharedItems>
      <fieldGroup par="13"/>
    </cacheField>
    <cacheField name="Region " numFmtId="0">
      <sharedItems count="4">
        <s v="East "/>
        <s v="North "/>
        <s v="South "/>
        <s v="West "/>
      </sharedItems>
    </cacheField>
    <cacheField name="Category " numFmtId="0">
      <sharedItems count="5">
        <s v="Hardware "/>
        <s v="Office Supplies "/>
        <s v="Furniture "/>
        <s v="Software "/>
        <s v="Electronics "/>
      </sharedItems>
    </cacheField>
    <cacheField name="Unit Price" numFmtId="44">
      <sharedItems containsSemiMixedTypes="0" containsString="0" containsNumber="1" minValue="20.66" maxValue="448.54"/>
    </cacheField>
    <cacheField name="Qty " numFmtId="2">
      <sharedItems containsSemiMixedTypes="0" containsString="0" containsNumber="1" containsInteger="1" minValue="1" maxValue="14"/>
    </cacheField>
    <cacheField name="Discount Rate" numFmtId="2">
      <sharedItems containsSemiMixedTypes="0" containsString="0" containsNumber="1" minValue="0" maxValue="0.3"/>
    </cacheField>
    <cacheField name="Signup Date" numFmtId="14">
      <sharedItems containsSemiMixedTypes="0" containsNonDate="0" containsDate="1" containsString="0" minDate="2025-01-01T00:00:00" maxDate="2025-10-27T00:00:00"/>
    </cacheField>
    <cacheField name=" Gross Revenue" numFmtId="44">
      <sharedItems containsSemiMixedTypes="0" containsString="0" containsNumber="1" minValue="31.02" maxValue="5402.54"/>
    </cacheField>
    <cacheField name="Net Revenue" numFmtId="44">
      <sharedItems containsSemiMixedTypes="0" containsString="0" containsNumber="1" minValue="24.816000000000003" maxValue="5402.54"/>
    </cacheField>
    <cacheField name="Customer Tag" numFmtId="0">
      <sharedItems/>
    </cacheField>
    <cacheField name="Days (Tx Date )" numFmtId="0" databaseField="0">
      <fieldGroup base="2">
        <rangePr groupBy="days" startDate="1899-12-30T00:00:00" endDate="2026-01-01T00:00:00"/>
        <groupItems count="368">
          <s v="&lt;1/0/190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Tx Date )" numFmtId="0" databaseField="0">
      <fieldGroup base="2">
        <rangePr groupBy="months" startDate="1899-12-30T00:00:00" endDate="2026-01-01T00:00:00"/>
        <groupItems count="14">
          <s v="&lt;1/0/19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 pivotCacheId="38084233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ine " refreshedDate="46269.67288460648" createdVersion="8" refreshedVersion="8" minRefreshableVersion="3" recordCount="120" xr:uid="{B745A34D-5D17-40F9-A3EC-FFB663A87400}">
  <cacheSource type="worksheet">
    <worksheetSource ref="A1:N121" sheet="Task 1"/>
  </cacheSource>
  <cacheFields count="17">
    <cacheField name="Transaction ID" numFmtId="0">
      <sharedItems/>
    </cacheField>
    <cacheField name="Customer ID " numFmtId="0">
      <sharedItems/>
    </cacheField>
    <cacheField name="Tx Date " numFmtId="14">
      <sharedItems containsSemiMixedTypes="0" containsNonDate="0" containsDate="1" containsString="0" minDate="1899-12-30T00:00:00" maxDate="2026-01-01T00:00:00" count="94">
        <d v="1899-12-30T00:00:00"/>
        <d v="2025-09-06T00:00:00"/>
        <d v="2025-12-17T00:00:00"/>
        <d v="2025-12-31T00:00:00"/>
        <d v="2025-10-16T00:00:00"/>
        <d v="2025-08-15T00:00:00"/>
        <d v="2025-08-20T00:00:00"/>
        <d v="2025-10-14T00:00:00"/>
        <d v="2025-08-17T00:00:00"/>
        <d v="2025-03-23T00:00:00"/>
        <d v="2025-04-11T00:00:00"/>
        <d v="2025-05-20T00:00:00"/>
        <d v="2025-03-25T00:00:00"/>
        <d v="2025-09-10T00:00:00"/>
        <d v="2025-03-21T00:00:00"/>
        <d v="2025-06-28T00:00:00"/>
        <d v="2025-08-07T00:00:00"/>
        <d v="2025-03-01T00:00:00"/>
        <d v="2025-06-17T00:00:00"/>
        <d v="2025-06-03T00:00:00"/>
        <d v="2025-07-29T00:00:00"/>
        <d v="2025-08-13T00:00:00"/>
        <d v="2025-07-11T00:00:00"/>
        <d v="2025-05-27T00:00:00"/>
        <d v="2025-05-25T00:00:00"/>
        <d v="2025-08-25T00:00:00"/>
        <d v="2025-03-31T00:00:00"/>
        <d v="2025-11-06T00:00:00"/>
        <d v="2025-09-05T00:00:00"/>
        <d v="2025-08-12T00:00:00"/>
        <d v="2025-09-16T00:00:00"/>
        <d v="2025-09-25T00:00:00"/>
        <d v="2025-08-22T00:00:00"/>
        <d v="2025-07-12T00:00:00"/>
        <d v="2025-01-16T00:00:00"/>
        <d v="2025-03-05T00:00:00"/>
        <d v="2025-02-21T00:00:00"/>
        <d v="2025-06-20T00:00:00"/>
        <d v="2025-08-06T00:00:00"/>
        <d v="2025-05-16T00:00:00"/>
        <d v="2025-04-19T00:00:00"/>
        <d v="2025-02-01T00:00:00"/>
        <d v="2025-09-18T00:00:00"/>
        <d v="2025-04-27T00:00:00"/>
        <d v="2025-03-24T00:00:00"/>
        <d v="2025-09-13T00:00:00"/>
        <d v="2025-08-05T00:00:00"/>
        <d v="2025-09-20T00:00:00"/>
        <d v="2025-04-18T00:00:00"/>
        <d v="2025-08-11T00:00:00"/>
        <d v="2025-07-16T00:00:00"/>
        <d v="2025-06-11T00:00:00"/>
        <d v="2025-03-28T00:00:00"/>
        <d v="2025-02-26T00:00:00"/>
        <d v="2025-08-30T00:00:00"/>
        <d v="2025-05-31T00:00:00"/>
        <d v="2025-09-15T00:00:00"/>
        <d v="2025-11-02T00:00:00"/>
        <d v="2025-06-15T00:00:00"/>
        <d v="2025-09-17T00:00:00"/>
        <d v="2025-08-01T00:00:00"/>
        <d v="2025-07-20T00:00:00"/>
        <d v="2025-07-02T00:00:00"/>
        <d v="2025-07-08T00:00:00"/>
        <d v="2025-09-24T00:00:00"/>
        <d v="2025-10-12T00:00:00"/>
        <d v="2025-07-28T00:00:00"/>
        <d v="2025-08-18T00:00:00"/>
        <d v="2025-08-24T00:00:00"/>
        <d v="2025-10-17T00:00:00"/>
        <d v="2025-03-15T00:00:00"/>
        <d v="2025-10-13T00:00:00"/>
        <d v="2025-10-20T00:00:00"/>
        <d v="2025-01-30T00:00:00"/>
        <d v="2025-07-23T00:00:00"/>
        <d v="2025-09-28T00:00:00"/>
        <d v="2025-05-06T00:00:00"/>
        <d v="2025-09-07T00:00:00"/>
        <d v="2025-11-04T00:00:00"/>
        <d v="2025-07-26T00:00:00"/>
        <d v="2025-09-03T00:00:00"/>
        <d v="2025-03-19T00:00:00"/>
        <d v="2025-10-29T00:00:00"/>
        <d v="2025-08-26T00:00:00"/>
        <d v="2025-08-03T00:00:00"/>
        <d v="2025-12-12T00:00:00"/>
        <d v="2025-10-15T00:00:00"/>
        <d v="2025-03-17T00:00:00"/>
        <d v="2025-10-02T00:00:00"/>
        <d v="2025-06-06T00:00:00"/>
        <d v="2025-04-09T00:00:00"/>
        <d v="2025-11-26T00:00:00"/>
        <d v="2025-10-18T00:00:00"/>
        <d v="2025-02-11T00:00:00"/>
      </sharedItems>
      <fieldGroup par="15"/>
    </cacheField>
    <cacheField name="Region " numFmtId="0">
      <sharedItems/>
    </cacheField>
    <cacheField name="Category " numFmtId="0">
      <sharedItems/>
    </cacheField>
    <cacheField name="Unit Price" numFmtId="44">
      <sharedItems containsSemiMixedTypes="0" containsString="0" containsNumber="1" minValue="20.66" maxValue="448.54"/>
    </cacheField>
    <cacheField name="Qty " numFmtId="2">
      <sharedItems containsSemiMixedTypes="0" containsString="0" containsNumber="1" containsInteger="1" minValue="1" maxValue="14"/>
    </cacheField>
    <cacheField name="Discount Rate" numFmtId="2">
      <sharedItems containsSemiMixedTypes="0" containsString="0" containsNumber="1" minValue="0" maxValue="0.3"/>
    </cacheField>
    <cacheField name="Signup Date" numFmtId="14">
      <sharedItems containsSemiMixedTypes="0" containsNonDate="0" containsDate="1" containsString="0" minDate="2025-01-01T00:00:00" maxDate="2025-10-27T00:00:00"/>
    </cacheField>
    <cacheField name=" Gross Revenue" numFmtId="44">
      <sharedItems containsSemiMixedTypes="0" containsString="0" containsNumber="1" minValue="31.02" maxValue="5402.54"/>
    </cacheField>
    <cacheField name="Net Revenue" numFmtId="44">
      <sharedItems containsSemiMixedTypes="0" containsString="0" containsNumber="1" minValue="24.816000000000003" maxValue="5402.54"/>
    </cacheField>
    <cacheField name="Customer Tag" numFmtId="0">
      <sharedItems/>
    </cacheField>
    <cacheField name="Discount Amount " numFmtId="44">
      <sharedItems containsSemiMixedTypes="0" containsString="0" containsNumber="1" minValue="0" maxValue="1206.972"/>
    </cacheField>
    <cacheField name="Risk Flag" numFmtId="0">
      <sharedItems/>
    </cacheField>
    <cacheField name="Days (Tx Date )" numFmtId="0" databaseField="0">
      <fieldGroup base="2">
        <rangePr groupBy="days" startDate="1899-12-30T00:00:00" endDate="2026-01-01T00:00:00"/>
        <groupItems count="368">
          <s v="&lt;1/0/190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Tx Date )" numFmtId="0" databaseField="0">
      <fieldGroup base="2">
        <rangePr groupBy="months" startDate="1899-12-30T00:00:00" endDate="2026-01-01T00:00:00"/>
        <groupItems count="14">
          <s v="&lt;1/0/19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Discount Rate" numFmtId="0" formula="'Discount Amount '/' Gross Revenu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TXN-10001 "/>
    <x v="0"/>
    <x v="0"/>
    <s v="East "/>
    <s v="Hardware "/>
    <n v="341.07"/>
    <n v="9"/>
    <n v="0.25"/>
    <d v="2025-05-25T00:00:00"/>
    <n v="3069.63"/>
    <n v="2302.2224999999999"/>
    <s v="RETURNING"/>
    <n v="767.40750000000003"/>
  </r>
  <r>
    <s v="TXN-10002 "/>
    <x v="1"/>
    <x v="1"/>
    <s v="North "/>
    <s v="Office Supplies "/>
    <n v="31.02"/>
    <n v="1"/>
    <n v="0.2"/>
    <d v="2025-07-31T00:00:00"/>
    <n v="31.02"/>
    <n v="24.816000000000003"/>
    <s v="RETURNING"/>
    <n v="6.2040000000000006"/>
  </r>
  <r>
    <s v="TXN-10003 "/>
    <x v="2"/>
    <x v="2"/>
    <s v="North "/>
    <s v="Hardware "/>
    <n v="448.54"/>
    <n v="5"/>
    <n v="0.3"/>
    <d v="2025-10-26T00:00:00"/>
    <n v="2242.7000000000003"/>
    <n v="1569.89"/>
    <s v="RETURNING"/>
    <n v="672.81000000000006"/>
  </r>
  <r>
    <s v="TXN-10004 "/>
    <x v="3"/>
    <x v="3"/>
    <s v="South "/>
    <s v="Furniture "/>
    <n v="122.6"/>
    <n v="14"/>
    <n v="0"/>
    <d v="2025-10-02T00:00:00"/>
    <n v="1716.3999999999999"/>
    <n v="1716.3999999999999"/>
    <s v="RETURNING"/>
    <n v="0"/>
  </r>
  <r>
    <s v="TXN-10005 "/>
    <x v="4"/>
    <x v="4"/>
    <s v="North "/>
    <s v="Software "/>
    <n v="114.46"/>
    <n v="1"/>
    <n v="0.05"/>
    <d v="2025-05-31T00:00:00"/>
    <n v="114.46"/>
    <n v="108.73699999999999"/>
    <s v="RETURNING"/>
    <n v="5.7229999999999999"/>
  </r>
  <r>
    <s v="TXN-10006 "/>
    <x v="5"/>
    <x v="5"/>
    <s v="South "/>
    <s v="Office Supplies "/>
    <n v="241.33"/>
    <n v="6"/>
    <n v="0.1"/>
    <d v="2025-08-10T00:00:00"/>
    <n v="1447.98"/>
    <n v="1303.182"/>
    <s v="NEW"/>
    <n v="144.798"/>
  </r>
  <r>
    <s v="TXN-10007 "/>
    <x v="6"/>
    <x v="6"/>
    <s v="West "/>
    <s v="Hardware "/>
    <n v="53.46"/>
    <n v="11"/>
    <n v="0"/>
    <d v="2025-06-05T00:00:00"/>
    <n v="588.06000000000006"/>
    <n v="588.06000000000006"/>
    <s v="RETURNING"/>
    <n v="0"/>
  </r>
  <r>
    <s v="TXN-10008 "/>
    <x v="7"/>
    <x v="7"/>
    <s v="East "/>
    <s v="Hardware "/>
    <n v="284.83"/>
    <n v="2"/>
    <n v="0.1"/>
    <d v="2025-09-15T00:00:00"/>
    <n v="569.66"/>
    <n v="512.69399999999996"/>
    <s v="NEW"/>
    <n v="56.966000000000001"/>
  </r>
  <r>
    <s v="TXN-10009 "/>
    <x v="8"/>
    <x v="8"/>
    <s v="West "/>
    <s v="Office Supplies "/>
    <n v="167.51"/>
    <n v="2"/>
    <n v="0.05"/>
    <d v="2025-08-11T00:00:00"/>
    <n v="335.02"/>
    <n v="318.26899999999995"/>
    <s v="NEW"/>
    <n v="16.751000000000001"/>
  </r>
  <r>
    <s v="TXN-10010 "/>
    <x v="9"/>
    <x v="9"/>
    <s v="East "/>
    <s v="Office Supplies "/>
    <n v="166.49"/>
    <n v="6"/>
    <n v="0"/>
    <d v="2025-02-15T00:00:00"/>
    <n v="998.94"/>
    <n v="998.94"/>
    <s v="RETURNING"/>
    <n v="0"/>
  </r>
  <r>
    <s v="TXN-10011 "/>
    <x v="10"/>
    <x v="10"/>
    <s v="East "/>
    <s v="Electronics "/>
    <n v="428.04"/>
    <n v="4"/>
    <n v="0.05"/>
    <d v="2025-02-27T00:00:00"/>
    <n v="1712.16"/>
    <n v="1626.5519999999999"/>
    <s v="RETURNING"/>
    <n v="85.608000000000004"/>
  </r>
  <r>
    <s v="TXN-10012 "/>
    <x v="11"/>
    <x v="11"/>
    <s v="North "/>
    <s v="Software "/>
    <n v="43.81"/>
    <n v="5"/>
    <n v="0.05"/>
    <d v="2025-02-26T00:00:00"/>
    <n v="219.05"/>
    <n v="208.0975"/>
    <s v="RETURNING"/>
    <n v="10.952500000000001"/>
  </r>
  <r>
    <s v="TXN-10013 "/>
    <x v="12"/>
    <x v="12"/>
    <s v="North "/>
    <s v="Furniture "/>
    <n v="267.14999999999998"/>
    <n v="11"/>
    <n v="0.1"/>
    <d v="2025-02-23T00:00:00"/>
    <n v="2938.6499999999996"/>
    <n v="2644.7849999999999"/>
    <s v="NEW"/>
    <n v="293.86499999999995"/>
  </r>
  <r>
    <s v="TXN-10014 "/>
    <x v="13"/>
    <x v="13"/>
    <s v="East "/>
    <s v="Furniture "/>
    <n v="75.39"/>
    <n v="8"/>
    <n v="0.15"/>
    <d v="2025-09-04T00:00:00"/>
    <n v="603.12"/>
    <n v="512.65200000000004"/>
    <s v="NEW"/>
    <n v="90.468000000000004"/>
  </r>
  <r>
    <s v="TXN-10015 "/>
    <x v="11"/>
    <x v="14"/>
    <s v="West "/>
    <s v="Furniture "/>
    <n v="239.13"/>
    <n v="2"/>
    <n v="0.2"/>
    <d v="2025-02-26T00:00:00"/>
    <n v="478.26"/>
    <n v="382.608"/>
    <s v="NEW"/>
    <n v="95.652000000000001"/>
  </r>
  <r>
    <s v="TXN-10016 "/>
    <x v="14"/>
    <x v="15"/>
    <s v="North "/>
    <s v="Hardware "/>
    <n v="165.11"/>
    <n v="10"/>
    <n v="0.2"/>
    <d v="2025-06-17T00:00:00"/>
    <n v="1651.1000000000001"/>
    <n v="1320.88"/>
    <s v="NEW"/>
    <n v="330.22"/>
  </r>
  <r>
    <s v="TXN-10017 "/>
    <x v="15"/>
    <x v="16"/>
    <s v="North "/>
    <s v="Hardware "/>
    <n v="215.44"/>
    <n v="10"/>
    <n v="0.25"/>
    <d v="2025-08-03T00:00:00"/>
    <n v="2154.4"/>
    <n v="1615.8000000000002"/>
    <s v="NEW"/>
    <n v="538.6"/>
  </r>
  <r>
    <s v="TXN-10018 "/>
    <x v="16"/>
    <x v="17"/>
    <s v="South "/>
    <s v="Hardware "/>
    <n v="154.88999999999999"/>
    <n v="10"/>
    <n v="0"/>
    <d v="2025-02-23T00:00:00"/>
    <n v="1548.8999999999999"/>
    <n v="1548.8999999999999"/>
    <s v="NEW"/>
    <n v="0"/>
  </r>
  <r>
    <s v="TXN-10019 "/>
    <x v="17"/>
    <x v="18"/>
    <s v="East "/>
    <s v="Furniture "/>
    <n v="415.58"/>
    <n v="13"/>
    <n v="0"/>
    <d v="2025-05-04T00:00:00"/>
    <n v="5402.54"/>
    <n v="5402.54"/>
    <s v="RETURNING"/>
    <n v="0"/>
  </r>
  <r>
    <s v="TXN-10020 "/>
    <x v="18"/>
    <x v="19"/>
    <s v="West "/>
    <s v="Electronics "/>
    <n v="274.82"/>
    <n v="4"/>
    <n v="0.3"/>
    <d v="2025-03-04T00:00:00"/>
    <n v="1099.28"/>
    <n v="769.49599999999998"/>
    <s v="RETURNING"/>
    <n v="329.78399999999999"/>
  </r>
  <r>
    <s v="TXN-10021 "/>
    <x v="19"/>
    <x v="20"/>
    <s v="South "/>
    <s v="Office Supplies "/>
    <n v="345.58"/>
    <n v="14"/>
    <n v="0.05"/>
    <d v="2025-04-05T00:00:00"/>
    <n v="4838.12"/>
    <n v="4596.2139999999999"/>
    <s v="RETURNING"/>
    <n v="241.90600000000001"/>
  </r>
  <r>
    <s v="TXN-10022 "/>
    <x v="20"/>
    <x v="21"/>
    <s v="West "/>
    <s v="Furniture "/>
    <n v="325.31"/>
    <n v="7"/>
    <n v="0.25"/>
    <d v="2025-08-12T00:00:00"/>
    <n v="2277.17"/>
    <n v="1707.8775000000001"/>
    <s v="NEW"/>
    <n v="569.29250000000002"/>
  </r>
  <r>
    <s v="TXN-10023 "/>
    <x v="21"/>
    <x v="22"/>
    <s v="South "/>
    <s v="Office Supplies "/>
    <n v="169.05"/>
    <n v="3"/>
    <n v="0.3"/>
    <d v="2025-07-10T00:00:00"/>
    <n v="507.15000000000003"/>
    <n v="355.005"/>
    <s v="NEW"/>
    <n v="152.14500000000001"/>
  </r>
  <r>
    <s v="TXN-10024 "/>
    <x v="22"/>
    <x v="23"/>
    <s v="North "/>
    <s v="Software "/>
    <n v="23.73"/>
    <n v="9"/>
    <n v="0"/>
    <d v="2025-05-13T00:00:00"/>
    <n v="213.57"/>
    <n v="213.57"/>
    <s v="NEW"/>
    <n v="0"/>
  </r>
  <r>
    <s v="TXN-10025 "/>
    <x v="23"/>
    <x v="24"/>
    <s v="South "/>
    <s v="Software "/>
    <n v="116.45"/>
    <n v="13"/>
    <n v="0.15"/>
    <d v="2025-05-21T00:00:00"/>
    <n v="1513.8500000000001"/>
    <n v="1286.7725"/>
    <s v="NEW"/>
    <n v="227.07750000000001"/>
  </r>
  <r>
    <s v="TXN-10026 "/>
    <x v="24"/>
    <x v="25"/>
    <s v="East "/>
    <s v="Electronics "/>
    <n v="231.82"/>
    <n v="4"/>
    <n v="0.3"/>
    <d v="2025-07-05T00:00:00"/>
    <n v="927.28"/>
    <n v="649.09599999999989"/>
    <s v="RETURNING"/>
    <n v="278.18399999999997"/>
  </r>
  <r>
    <s v="TXN-10027 "/>
    <x v="16"/>
    <x v="26"/>
    <s v="West "/>
    <s v="Electronics "/>
    <n v="260.54000000000002"/>
    <n v="10"/>
    <n v="0"/>
    <d v="2025-02-23T00:00:00"/>
    <n v="2605.4"/>
    <n v="2605.4"/>
    <s v="RETURNING"/>
    <n v="0"/>
  </r>
  <r>
    <s v="TXN-10028 "/>
    <x v="25"/>
    <x v="27"/>
    <s v="South "/>
    <s v="Office Supplies "/>
    <n v="121.29"/>
    <n v="11"/>
    <n v="0.2"/>
    <d v="2025-10-17T00:00:00"/>
    <n v="1334.19"/>
    <n v="1067.3520000000001"/>
    <s v="NEW"/>
    <n v="266.83800000000002"/>
  </r>
  <r>
    <s v="TXN-10029 "/>
    <x v="26"/>
    <x v="28"/>
    <s v="North "/>
    <s v="Hardware "/>
    <n v="81.489999999999995"/>
    <n v="7"/>
    <n v="0.15"/>
    <d v="2025-05-06T00:00:00"/>
    <n v="570.42999999999995"/>
    <n v="484.86549999999994"/>
    <s v="RETURNING"/>
    <n v="85.564499999999995"/>
  </r>
  <r>
    <s v="TXN-10030 "/>
    <x v="5"/>
    <x v="29"/>
    <s v="North "/>
    <s v="Furniture "/>
    <n v="243.16"/>
    <n v="8"/>
    <n v="0.2"/>
    <d v="2025-08-10T00:00:00"/>
    <n v="1945.28"/>
    <n v="1556.2240000000002"/>
    <s v="NEW"/>
    <n v="389.05600000000004"/>
  </r>
  <r>
    <s v="TXN-10031 "/>
    <x v="27"/>
    <x v="3"/>
    <s v="South "/>
    <s v="Office Supplies "/>
    <n v="265.56"/>
    <n v="11"/>
    <n v="0.15"/>
    <d v="2025-09-21T00:00:00"/>
    <n v="2921.16"/>
    <n v="2482.9859999999999"/>
    <s v="RETURNING"/>
    <n v="438.17399999999998"/>
  </r>
  <r>
    <s v="TXN-10032 "/>
    <x v="28"/>
    <x v="30"/>
    <s v="South "/>
    <s v="Furniture "/>
    <n v="372.07"/>
    <n v="2"/>
    <n v="0.3"/>
    <d v="2025-04-03T00:00:00"/>
    <n v="744.14"/>
    <n v="520.89799999999991"/>
    <s v="RETURNING"/>
    <n v="223.24199999999999"/>
  </r>
  <r>
    <s v="TXN-10033 "/>
    <x v="29"/>
    <x v="31"/>
    <s v="East "/>
    <s v="Hardware "/>
    <n v="349.73"/>
    <n v="6"/>
    <n v="0.05"/>
    <d v="2025-08-18T00:00:00"/>
    <n v="2098.38"/>
    <n v="1993.461"/>
    <s v="RETURNING"/>
    <n v="104.91900000000001"/>
  </r>
  <r>
    <s v="TXN-10034 "/>
    <x v="30"/>
    <x v="32"/>
    <s v="West "/>
    <s v="Electronics "/>
    <n v="335.27"/>
    <n v="12"/>
    <n v="0.3"/>
    <d v="2025-06-28T00:00:00"/>
    <n v="4023.24"/>
    <n v="2816.2679999999996"/>
    <s v="RETURNING"/>
    <n v="1206.972"/>
  </r>
  <r>
    <s v="TXN-10035 "/>
    <x v="4"/>
    <x v="33"/>
    <s v="West "/>
    <s v="Hardware "/>
    <n v="235.16"/>
    <n v="4"/>
    <n v="0.2"/>
    <d v="2025-05-31T00:00:00"/>
    <n v="940.64"/>
    <n v="752.51200000000006"/>
    <s v="RETURNING"/>
    <n v="188.12800000000001"/>
  </r>
  <r>
    <s v="TXN-10036 "/>
    <x v="31"/>
    <x v="34"/>
    <s v="South "/>
    <s v="Office Supplies "/>
    <n v="253.64"/>
    <n v="10"/>
    <n v="0.15"/>
    <d v="2025-01-14T00:00:00"/>
    <n v="2536.3999999999996"/>
    <n v="2155.9399999999996"/>
    <s v="NEW"/>
    <n v="380.45999999999992"/>
  </r>
  <r>
    <s v="TXN-10037 "/>
    <x v="32"/>
    <x v="35"/>
    <s v="West "/>
    <s v="Electronics "/>
    <n v="75.39"/>
    <n v="9"/>
    <n v="0"/>
    <d v="2025-01-13T00:00:00"/>
    <n v="678.51"/>
    <n v="678.51"/>
    <s v="RETURNING"/>
    <n v="0"/>
  </r>
  <r>
    <s v="TXN-10038 "/>
    <x v="33"/>
    <x v="36"/>
    <s v="West "/>
    <s v="Furniture "/>
    <n v="166.76"/>
    <n v="1"/>
    <n v="0.2"/>
    <d v="2025-01-12T00:00:00"/>
    <n v="166.76"/>
    <n v="133.40799999999999"/>
    <s v="RETURNING"/>
    <n v="33.351999999999997"/>
  </r>
  <r>
    <s v="TXN-10039 "/>
    <x v="34"/>
    <x v="37"/>
    <s v="North "/>
    <s v="Furniture "/>
    <n v="423.18"/>
    <n v="12"/>
    <n v="0.1"/>
    <d v="2025-05-28T00:00:00"/>
    <n v="5078.16"/>
    <n v="4570.3440000000001"/>
    <s v="NEW"/>
    <n v="507.81600000000003"/>
  </r>
  <r>
    <s v="TXN-10040 "/>
    <x v="35"/>
    <x v="38"/>
    <s v="West "/>
    <s v="Software "/>
    <n v="381.2"/>
    <n v="8"/>
    <n v="0.1"/>
    <d v="2025-04-11T00:00:00"/>
    <n v="3049.6"/>
    <n v="2744.64"/>
    <s v="RETURNING"/>
    <n v="304.95999999999998"/>
  </r>
  <r>
    <s v="TXN-10041 "/>
    <x v="26"/>
    <x v="39"/>
    <s v="South "/>
    <s v="Furniture "/>
    <n v="86.46"/>
    <n v="5"/>
    <n v="0.1"/>
    <d v="2025-05-06T00:00:00"/>
    <n v="432.29999999999995"/>
    <n v="389.07"/>
    <s v="NEW"/>
    <n v="43.23"/>
  </r>
  <r>
    <s v="TXN-10042 "/>
    <x v="36"/>
    <x v="40"/>
    <s v="West "/>
    <s v="Electronics "/>
    <n v="396.58"/>
    <n v="9"/>
    <n v="0.05"/>
    <d v="2025-03-17T00:00:00"/>
    <n v="3569.22"/>
    <n v="3390.7589999999996"/>
    <s v="RETURNING"/>
    <n v="178.46100000000001"/>
  </r>
  <r>
    <s v="TXN-10043 "/>
    <x v="37"/>
    <x v="41"/>
    <s v="West "/>
    <s v="Furniture "/>
    <n v="286.48"/>
    <n v="1"/>
    <n v="0.3"/>
    <d v="2025-01-05T00:00:00"/>
    <n v="286.48"/>
    <n v="200.536"/>
    <s v="NEW"/>
    <n v="85.944000000000003"/>
  </r>
  <r>
    <s v="TXN-10044 "/>
    <x v="38"/>
    <x v="41"/>
    <s v="North "/>
    <s v="Electronics "/>
    <n v="406.31"/>
    <n v="7"/>
    <n v="0.05"/>
    <d v="2025-01-01T00:00:00"/>
    <n v="2844.17"/>
    <n v="2701.9614999999999"/>
    <s v="RETURNING"/>
    <n v="142.20850000000002"/>
  </r>
  <r>
    <s v="TXN-10045 "/>
    <x v="39"/>
    <x v="42"/>
    <s v="East "/>
    <s v="Furniture "/>
    <n v="202.71"/>
    <n v="3"/>
    <n v="0.3"/>
    <d v="2025-09-07T00:00:00"/>
    <n v="608.13"/>
    <n v="425.69099999999997"/>
    <s v="NEW"/>
    <n v="182.43899999999999"/>
  </r>
  <r>
    <s v="TXN-10046 "/>
    <x v="40"/>
    <x v="43"/>
    <s v="West "/>
    <s v="Software "/>
    <n v="360.4"/>
    <n v="13"/>
    <n v="0"/>
    <d v="2025-04-09T00:00:00"/>
    <n v="4685.2"/>
    <n v="4685.2"/>
    <s v="NEW"/>
    <n v="0"/>
  </r>
  <r>
    <s v="TXN-10047 "/>
    <x v="23"/>
    <x v="15"/>
    <s v="North "/>
    <s v="Electronics "/>
    <n v="150.6"/>
    <n v="5"/>
    <n v="0.1"/>
    <d v="2025-05-21T00:00:00"/>
    <n v="753"/>
    <n v="677.7"/>
    <s v="RETURNING"/>
    <n v="75.3"/>
  </r>
  <r>
    <s v="TXN-10048 "/>
    <x v="41"/>
    <x v="44"/>
    <s v="South "/>
    <s v="Office Supplies "/>
    <n v="346.67"/>
    <n v="11"/>
    <n v="0.05"/>
    <d v="2025-03-23T00:00:00"/>
    <n v="3813.3700000000003"/>
    <n v="3622.7015000000001"/>
    <s v="NEW"/>
    <n v="190.66850000000002"/>
  </r>
  <r>
    <s v="TXN-10049 "/>
    <x v="30"/>
    <x v="45"/>
    <s v="East "/>
    <s v="Software "/>
    <n v="213.8"/>
    <n v="4"/>
    <n v="0.3"/>
    <d v="2025-06-28T00:00:00"/>
    <n v="855.2"/>
    <n v="598.64"/>
    <s v="RETURNING"/>
    <n v="256.56"/>
  </r>
  <r>
    <s v="TXN-10050 "/>
    <x v="42"/>
    <x v="46"/>
    <s v="North "/>
    <s v="Software "/>
    <n v="329.18"/>
    <n v="2"/>
    <n v="0.1"/>
    <d v="2025-07-02T00:00:00"/>
    <n v="658.36"/>
    <n v="592.524"/>
    <s v="RETURNING"/>
    <n v="65.835999999999999"/>
  </r>
  <r>
    <s v="TXN-10051 "/>
    <x v="5"/>
    <x v="47"/>
    <s v="West "/>
    <s v="Software "/>
    <n v="326.54000000000002"/>
    <n v="11"/>
    <n v="0.2"/>
    <d v="2025-08-10T00:00:00"/>
    <n v="3591.94"/>
    <n v="2873.5520000000001"/>
    <s v="RETURNING"/>
    <n v="718.38800000000003"/>
  </r>
  <r>
    <s v="TXN-10052 "/>
    <x v="43"/>
    <x v="48"/>
    <s v="South "/>
    <s v="Office Supplies "/>
    <n v="427.07"/>
    <n v="12"/>
    <n v="0.05"/>
    <d v="2025-04-09T00:00:00"/>
    <n v="5124.84"/>
    <n v="4868.598"/>
    <s v="NEW"/>
    <n v="256.24200000000002"/>
  </r>
  <r>
    <s v="TXN-10053 "/>
    <x v="44"/>
    <x v="49"/>
    <s v="South "/>
    <s v="Electronics "/>
    <n v="126.37"/>
    <n v="8"/>
    <n v="0.15"/>
    <d v="2025-08-05T00:00:00"/>
    <n v="1010.96"/>
    <n v="859.31600000000003"/>
    <s v="NEW"/>
    <n v="151.64400000000001"/>
  </r>
  <r>
    <s v="TXN-10054 "/>
    <x v="45"/>
    <x v="50"/>
    <s v="West "/>
    <s v="Software "/>
    <n v="358.69"/>
    <n v="5"/>
    <n v="0.3"/>
    <d v="2025-03-17T00:00:00"/>
    <n v="1793.45"/>
    <n v="1255.415"/>
    <s v="RETURNING"/>
    <n v="538.03499999999997"/>
  </r>
  <r>
    <s v="TXN-10055 "/>
    <x v="46"/>
    <x v="51"/>
    <s v="East "/>
    <s v="Office Supplies "/>
    <n v="44.98"/>
    <n v="3"/>
    <n v="0.2"/>
    <d v="2025-04-06T00:00:00"/>
    <n v="134.94"/>
    <n v="107.952"/>
    <s v="RETURNING"/>
    <n v="26.988"/>
  </r>
  <r>
    <s v="TXN-10056 "/>
    <x v="37"/>
    <x v="52"/>
    <s v="East "/>
    <s v="Electronics "/>
    <n v="64.260000000000005"/>
    <n v="5"/>
    <n v="0.05"/>
    <d v="2025-01-05T00:00:00"/>
    <n v="321.3"/>
    <n v="305.23500000000001"/>
    <s v="RETURNING"/>
    <n v="16.065000000000001"/>
  </r>
  <r>
    <s v="TXN-10057 "/>
    <x v="47"/>
    <x v="4"/>
    <s v="East "/>
    <s v="Electronics "/>
    <n v="159.47999999999999"/>
    <n v="6"/>
    <n v="0.3"/>
    <d v="2025-10-07T00:00:00"/>
    <n v="956.87999999999988"/>
    <n v="669.81599999999992"/>
    <s v="NEW"/>
    <n v="287.06399999999996"/>
  </r>
  <r>
    <s v="TXN-10058 "/>
    <x v="48"/>
    <x v="53"/>
    <s v="North "/>
    <s v="Electronics "/>
    <n v="104.43"/>
    <n v="9"/>
    <n v="0.2"/>
    <d v="2025-02-05T00:00:00"/>
    <n v="939.87000000000012"/>
    <n v="751.89600000000019"/>
    <s v="NEW"/>
    <n v="187.97400000000005"/>
  </r>
  <r>
    <s v="TXN-10059 "/>
    <x v="20"/>
    <x v="54"/>
    <s v="East "/>
    <s v="Software "/>
    <n v="248.77"/>
    <n v="11"/>
    <n v="0.25"/>
    <d v="2025-08-12T00:00:00"/>
    <n v="2736.4700000000003"/>
    <n v="2052.3525"/>
    <s v="NEW"/>
    <n v="684.11750000000006"/>
  </r>
  <r>
    <s v="TXN-10060 "/>
    <x v="49"/>
    <x v="55"/>
    <s v="East "/>
    <s v="Electronics "/>
    <n v="270.37"/>
    <n v="11"/>
    <n v="0.15"/>
    <d v="2025-05-02T00:00:00"/>
    <n v="2974.07"/>
    <n v="2527.9594999999999"/>
    <s v="NEW"/>
    <n v="446.1105"/>
  </r>
  <r>
    <s v="TXN-10061 "/>
    <x v="50"/>
    <x v="56"/>
    <s v="West "/>
    <s v="Electronics "/>
    <n v="231.79"/>
    <n v="6"/>
    <n v="0.2"/>
    <d v="2025-09-09T00:00:00"/>
    <n v="1390.74"/>
    <n v="1112.5920000000001"/>
    <s v="NEW"/>
    <n v="278.14800000000002"/>
  </r>
  <r>
    <s v="TXN-10062 "/>
    <x v="51"/>
    <x v="57"/>
    <s v="East "/>
    <s v="Furniture "/>
    <n v="290.02999999999997"/>
    <n v="12"/>
    <n v="0.05"/>
    <d v="2025-10-13T00:00:00"/>
    <n v="3480.3599999999997"/>
    <n v="3306.3419999999996"/>
    <s v="NEW"/>
    <n v="174.018"/>
  </r>
  <r>
    <s v="TXN-10063 "/>
    <x v="52"/>
    <x v="58"/>
    <s v="West "/>
    <s v="Electronics "/>
    <n v="79.67"/>
    <n v="6"/>
    <n v="0.25"/>
    <d v="2025-06-07T00:00:00"/>
    <n v="478.02"/>
    <n v="358.51499999999999"/>
    <s v="NEW"/>
    <n v="119.505"/>
  </r>
  <r>
    <s v="TXN-10064 "/>
    <x v="38"/>
    <x v="59"/>
    <s v="North "/>
    <s v="Electronics "/>
    <n v="149.82"/>
    <n v="14"/>
    <n v="0.3"/>
    <d v="2025-01-01T00:00:00"/>
    <n v="2097.48"/>
    <n v="1468.2359999999999"/>
    <s v="RETURNING"/>
    <n v="629.24400000000003"/>
  </r>
  <r>
    <s v="TXN-10065 "/>
    <x v="53"/>
    <x v="60"/>
    <s v="South "/>
    <s v="Hardware "/>
    <n v="286.86"/>
    <n v="13"/>
    <n v="0.25"/>
    <d v="2025-07-13T00:00:00"/>
    <n v="3729.1800000000003"/>
    <n v="2796.8850000000002"/>
    <s v="NEW"/>
    <n v="932.29500000000007"/>
  </r>
  <r>
    <s v="TXN-10066 "/>
    <x v="54"/>
    <x v="61"/>
    <s v="South "/>
    <s v="Electronics "/>
    <n v="352.35"/>
    <n v="2"/>
    <n v="0.05"/>
    <d v="2025-06-13T00:00:00"/>
    <n v="704.7"/>
    <n v="669.46500000000003"/>
    <s v="RETURNING"/>
    <n v="35.235000000000007"/>
  </r>
  <r>
    <s v="TXN-10067 "/>
    <x v="55"/>
    <x v="62"/>
    <s v="South "/>
    <s v="Furniture "/>
    <n v="82.53"/>
    <n v="1"/>
    <n v="0.2"/>
    <d v="2025-06-09T00:00:00"/>
    <n v="82.53"/>
    <n v="66.024000000000001"/>
    <s v="NEW"/>
    <n v="16.506"/>
  </r>
  <r>
    <s v="TXN-10068 "/>
    <x v="56"/>
    <x v="63"/>
    <s v="West "/>
    <s v="Office Supplies "/>
    <n v="132.77000000000001"/>
    <n v="14"/>
    <n v="0.05"/>
    <d v="2025-02-27T00:00:00"/>
    <n v="1858.7800000000002"/>
    <n v="1765.8410000000001"/>
    <s v="RETURNING"/>
    <n v="92.939000000000021"/>
  </r>
  <r>
    <s v="TXN-10069 "/>
    <x v="57"/>
    <x v="64"/>
    <s v="West "/>
    <s v="Office Supplies "/>
    <n v="392.14"/>
    <n v="8"/>
    <n v="0"/>
    <d v="2025-04-04T00:00:00"/>
    <n v="3137.12"/>
    <n v="3137.12"/>
    <s v="RETURNING"/>
    <n v="0"/>
  </r>
  <r>
    <s v="TXN-10070 "/>
    <x v="58"/>
    <x v="51"/>
    <s v="East "/>
    <s v="Furniture "/>
    <n v="234.9"/>
    <n v="8"/>
    <n v="0.25"/>
    <d v="2025-05-29T00:00:00"/>
    <n v="1879.2"/>
    <n v="1409.4"/>
    <s v="NEW"/>
    <n v="469.8"/>
  </r>
  <r>
    <s v="TXN-10071 "/>
    <x v="59"/>
    <x v="65"/>
    <s v="East "/>
    <s v="Furniture "/>
    <n v="298.94"/>
    <n v="8"/>
    <n v="0.05"/>
    <d v="2025-08-01T00:00:00"/>
    <n v="2391.52"/>
    <n v="2271.944"/>
    <s v="RETURNING"/>
    <n v="119.57600000000001"/>
  </r>
  <r>
    <s v="TXN-10072 "/>
    <x v="60"/>
    <x v="66"/>
    <s v="South "/>
    <s v="Furniture "/>
    <n v="433.75"/>
    <n v="4"/>
    <n v="0.2"/>
    <d v="2025-07-16T00:00:00"/>
    <n v="1735"/>
    <n v="1388"/>
    <s v="NEW"/>
    <n v="347"/>
  </r>
  <r>
    <s v="TXN-10073 "/>
    <x v="61"/>
    <x v="67"/>
    <s v="East "/>
    <s v="Office Supplies "/>
    <n v="20.66"/>
    <n v="7"/>
    <n v="0"/>
    <d v="2025-08-08T00:00:00"/>
    <n v="144.62"/>
    <n v="144.62"/>
    <s v="NEW"/>
    <n v="0"/>
  </r>
  <r>
    <s v="TXN-10074 "/>
    <x v="62"/>
    <x v="68"/>
    <s v="West "/>
    <s v="Hardware "/>
    <n v="396.25"/>
    <n v="13"/>
    <n v="0.15"/>
    <d v="2025-06-01T00:00:00"/>
    <n v="5151.25"/>
    <n v="4378.5625"/>
    <s v="RETURNING"/>
    <n v="772.6875"/>
  </r>
  <r>
    <s v="TXN-10075 "/>
    <x v="63"/>
    <x v="65"/>
    <s v="East "/>
    <s v="Hardware "/>
    <n v="163.69"/>
    <n v="10"/>
    <n v="0.3"/>
    <d v="2025-07-04T00:00:00"/>
    <n v="1636.9"/>
    <n v="1145.83"/>
    <s v="RETURNING"/>
    <n v="491.07"/>
  </r>
  <r>
    <s v="TXN-10076 "/>
    <x v="64"/>
    <x v="42"/>
    <s v="West "/>
    <s v="Software "/>
    <n v="286.5"/>
    <n v="6"/>
    <n v="0.25"/>
    <d v="2025-08-09T00:00:00"/>
    <n v="1719"/>
    <n v="1289.25"/>
    <s v="RETURNING"/>
    <n v="429.75"/>
  </r>
  <r>
    <s v="TXN-10077 "/>
    <x v="65"/>
    <x v="69"/>
    <s v="East "/>
    <s v="Software "/>
    <n v="438.93"/>
    <n v="12"/>
    <n v="0"/>
    <d v="2025-07-21T00:00:00"/>
    <n v="5267.16"/>
    <n v="5267.16"/>
    <s v="RETURNING"/>
    <n v="0"/>
  </r>
  <r>
    <s v="TXN-10078 "/>
    <x v="66"/>
    <x v="69"/>
    <s v="East "/>
    <s v="Electronics "/>
    <n v="225.88"/>
    <n v="1"/>
    <n v="0.25"/>
    <d v="2025-09-10T00:00:00"/>
    <n v="225.88"/>
    <n v="169.41"/>
    <s v="RETURNING"/>
    <n v="56.47"/>
  </r>
  <r>
    <s v="TXN-10079 "/>
    <x v="67"/>
    <x v="70"/>
    <s v="North "/>
    <s v="Electronics "/>
    <n v="127.18"/>
    <n v="6"/>
    <n v="0.25"/>
    <d v="2025-02-08T00:00:00"/>
    <n v="763.08"/>
    <n v="572.31000000000006"/>
    <s v="RETURNING"/>
    <n v="190.77"/>
  </r>
  <r>
    <s v="TXN-10080 "/>
    <x v="68"/>
    <x v="9"/>
    <s v="South "/>
    <s v="Office Supplies "/>
    <n v="406.75"/>
    <n v="2"/>
    <n v="0.3"/>
    <d v="2025-02-27T00:00:00"/>
    <n v="813.5"/>
    <n v="569.44999999999993"/>
    <s v="NEW"/>
    <n v="244.04999999999998"/>
  </r>
  <r>
    <s v="TXN-10081 "/>
    <x v="69"/>
    <x v="71"/>
    <s v="South "/>
    <s v="Hardware "/>
    <n v="369.55"/>
    <n v="9"/>
    <n v="0.25"/>
    <d v="2025-10-13T00:00:00"/>
    <n v="3325.9500000000003"/>
    <n v="2494.4625000000001"/>
    <s v="NEW"/>
    <n v="831.48750000000007"/>
  </r>
  <r>
    <s v="TXN-10082 "/>
    <x v="16"/>
    <x v="26"/>
    <s v="North "/>
    <s v="Office Supplies "/>
    <n v="328.29"/>
    <n v="5"/>
    <n v="0.05"/>
    <d v="2025-02-23T00:00:00"/>
    <n v="1641.45"/>
    <n v="1559.3775000000001"/>
    <s v="RETURNING"/>
    <n v="82.072500000000005"/>
  </r>
  <r>
    <s v="TXN-10083 "/>
    <x v="70"/>
    <x v="72"/>
    <s v="South "/>
    <s v="Furniture "/>
    <n v="274.87"/>
    <n v="12"/>
    <n v="0.2"/>
    <d v="2025-07-09T00:00:00"/>
    <n v="3298.44"/>
    <n v="2638.7520000000004"/>
    <s v="RETURNING"/>
    <n v="659.6880000000001"/>
  </r>
  <r>
    <s v="TXN-10084 "/>
    <x v="71"/>
    <x v="3"/>
    <s v="North "/>
    <s v="Software "/>
    <n v="350.35"/>
    <n v="14"/>
    <n v="0.05"/>
    <d v="2025-10-11T00:00:00"/>
    <n v="4904.9000000000005"/>
    <n v="4659.6550000000007"/>
    <s v="RETURNING"/>
    <n v="245.24500000000003"/>
  </r>
  <r>
    <s v="TXN-10085 "/>
    <x v="72"/>
    <x v="58"/>
    <s v="West "/>
    <s v="Furniture "/>
    <n v="121.73"/>
    <n v="5"/>
    <n v="0.1"/>
    <d v="2025-06-12T00:00:00"/>
    <n v="608.65"/>
    <n v="547.78499999999997"/>
    <s v="NEW"/>
    <n v="60.865000000000002"/>
  </r>
  <r>
    <s v="TXN-10086 "/>
    <x v="37"/>
    <x v="73"/>
    <s v="West "/>
    <s v="Electronics "/>
    <n v="328.87"/>
    <n v="8"/>
    <n v="0.1"/>
    <d v="2025-01-05T00:00:00"/>
    <n v="2630.96"/>
    <n v="2367.864"/>
    <s v="NEW"/>
    <n v="263.096"/>
  </r>
  <r>
    <s v="TXN-10087 "/>
    <x v="73"/>
    <x v="41"/>
    <s v="West "/>
    <s v="Hardware "/>
    <n v="225.43"/>
    <n v="10"/>
    <n v="0.15"/>
    <d v="2025-01-10T00:00:00"/>
    <n v="2254.3000000000002"/>
    <n v="1916.1550000000002"/>
    <s v="NEW"/>
    <n v="338.14500000000004"/>
  </r>
  <r>
    <s v="TXN-10088 "/>
    <x v="21"/>
    <x v="74"/>
    <s v="East "/>
    <s v="Software "/>
    <n v="37.369999999999997"/>
    <n v="14"/>
    <n v="0.1"/>
    <d v="2025-07-10T00:00:00"/>
    <n v="523.17999999999995"/>
    <n v="470.86199999999997"/>
    <s v="NEW"/>
    <n v="52.317999999999998"/>
  </r>
  <r>
    <s v="TXN-10089 "/>
    <x v="74"/>
    <x v="11"/>
    <s v="North "/>
    <s v="Electronics "/>
    <n v="47.68"/>
    <n v="1"/>
    <n v="0"/>
    <d v="2025-03-15T00:00:00"/>
    <n v="47.68"/>
    <n v="47.68"/>
    <s v="RETURNING"/>
    <n v="0"/>
  </r>
  <r>
    <s v="TXN-10090 "/>
    <x v="75"/>
    <x v="75"/>
    <s v="West "/>
    <s v="Office Supplies "/>
    <n v="214.96"/>
    <n v="3"/>
    <n v="0.1"/>
    <d v="2025-08-05T00:00:00"/>
    <n v="644.88"/>
    <n v="580.39200000000005"/>
    <s v="RETURNING"/>
    <n v="64.488"/>
  </r>
  <r>
    <s v="TXN-10091 "/>
    <x v="26"/>
    <x v="76"/>
    <s v="East "/>
    <s v="Office Supplies "/>
    <n v="59.85"/>
    <n v="5"/>
    <n v="0.15"/>
    <d v="2025-05-06T00:00:00"/>
    <n v="299.25"/>
    <n v="254.36249999999998"/>
    <s v="NEW"/>
    <n v="44.887499999999996"/>
  </r>
  <r>
    <s v="TXN-10092 "/>
    <x v="76"/>
    <x v="3"/>
    <s v="East "/>
    <s v="Electronics "/>
    <n v="95.53"/>
    <n v="14"/>
    <n v="0.1"/>
    <d v="2025-09-21T00:00:00"/>
    <n v="1337.42"/>
    <n v="1203.6780000000001"/>
    <s v="RETURNING"/>
    <n v="133.74200000000002"/>
  </r>
  <r>
    <s v="TXN-10093 "/>
    <x v="77"/>
    <x v="63"/>
    <s v="North "/>
    <s v="Hardware "/>
    <n v="316.14"/>
    <n v="6"/>
    <n v="0"/>
    <d v="2025-05-24T00:00:00"/>
    <n v="1896.84"/>
    <n v="1896.84"/>
    <s v="RETURNING"/>
    <n v="0"/>
  </r>
  <r>
    <s v="TXN-10094 "/>
    <x v="78"/>
    <x v="77"/>
    <s v="East "/>
    <s v="Office Supplies "/>
    <n v="37.44"/>
    <n v="10"/>
    <n v="0.3"/>
    <d v="2025-07-23T00:00:00"/>
    <n v="374.4"/>
    <n v="262.08"/>
    <s v="RETURNING"/>
    <n v="112.32"/>
  </r>
  <r>
    <s v="TXN-10095 "/>
    <x v="79"/>
    <x v="78"/>
    <s v="East "/>
    <s v="Electronics "/>
    <n v="93.55"/>
    <n v="5"/>
    <n v="0.25"/>
    <d v="2025-09-10T00:00:00"/>
    <n v="467.75"/>
    <n v="350.8125"/>
    <s v="RETURNING"/>
    <n v="116.9375"/>
  </r>
  <r>
    <s v="TXN-10096 "/>
    <x v="80"/>
    <x v="16"/>
    <s v="East "/>
    <s v="Hardware "/>
    <n v="333"/>
    <n v="3"/>
    <n v="0.05"/>
    <d v="2025-07-22T00:00:00"/>
    <n v="999"/>
    <n v="949.05"/>
    <s v="NEW"/>
    <n v="49.95"/>
  </r>
  <r>
    <s v="TXN-10097 "/>
    <x v="81"/>
    <x v="79"/>
    <s v="East "/>
    <s v="Software "/>
    <n v="382.38"/>
    <n v="2"/>
    <n v="0.1"/>
    <d v="2025-05-16T00:00:00"/>
    <n v="764.76"/>
    <n v="688.28399999999999"/>
    <s v="RETURNING"/>
    <n v="76.475999999999999"/>
  </r>
  <r>
    <s v="TXN-10098 "/>
    <x v="8"/>
    <x v="29"/>
    <s v="East "/>
    <s v="Furniture "/>
    <n v="258.89"/>
    <n v="13"/>
    <n v="0.05"/>
    <d v="2025-08-11T00:00:00"/>
    <n v="3365.5699999999997"/>
    <n v="3197.2914999999994"/>
    <s v="NEW"/>
    <n v="168.27850000000001"/>
  </r>
  <r>
    <s v="TXN-10099 "/>
    <x v="82"/>
    <x v="31"/>
    <s v="West "/>
    <s v="Office Supplies "/>
    <n v="330.27"/>
    <n v="12"/>
    <n v="0.3"/>
    <d v="2025-08-03T00:00:00"/>
    <n v="3963.24"/>
    <n v="2774.2679999999996"/>
    <s v="RETURNING"/>
    <n v="1188.972"/>
  </r>
  <r>
    <s v="TXN-10100 "/>
    <x v="83"/>
    <x v="80"/>
    <s v="West "/>
    <s v="Hardware "/>
    <n v="302.82"/>
    <n v="13"/>
    <n v="0.05"/>
    <d v="2025-06-22T00:00:00"/>
    <n v="3936.66"/>
    <n v="3739.8269999999998"/>
    <s v="RETURNING"/>
    <n v="196.833"/>
  </r>
  <r>
    <s v="TXN-10101 "/>
    <x v="51"/>
    <x v="3"/>
    <s v="South "/>
    <s v="Software "/>
    <n v="116.34"/>
    <n v="7"/>
    <n v="0.1"/>
    <d v="2025-10-13T00:00:00"/>
    <n v="814.38"/>
    <n v="732.94200000000001"/>
    <s v="RETURNING"/>
    <n v="81.438000000000002"/>
  </r>
  <r>
    <s v="TXN-10102 "/>
    <x v="84"/>
    <x v="3"/>
    <s v="East "/>
    <s v="Hardware "/>
    <n v="245.09"/>
    <n v="3"/>
    <n v="0.1"/>
    <d v="2025-08-21T00:00:00"/>
    <n v="735.27"/>
    <n v="661.74300000000005"/>
    <s v="RETURNING"/>
    <n v="73.527000000000001"/>
  </r>
  <r>
    <s v="TXN-10103 "/>
    <x v="85"/>
    <x v="48"/>
    <s v="North "/>
    <s v="Electronics "/>
    <n v="189.84"/>
    <n v="5"/>
    <n v="0.15"/>
    <d v="2025-04-18T00:00:00"/>
    <n v="949.2"/>
    <n v="806.82"/>
    <s v="NEW"/>
    <n v="142.38"/>
  </r>
  <r>
    <s v="TXN-10104 "/>
    <x v="86"/>
    <x v="81"/>
    <s v="West "/>
    <s v="Electronics "/>
    <n v="349.2"/>
    <n v="9"/>
    <n v="0.3"/>
    <d v="2025-02-08T00:00:00"/>
    <n v="3142.7999999999997"/>
    <n v="2199.9599999999996"/>
    <s v="RETURNING"/>
    <n v="942.83999999999992"/>
  </r>
  <r>
    <s v="TXN-10105 "/>
    <x v="87"/>
    <x v="82"/>
    <s v="East "/>
    <s v="Hardware "/>
    <n v="169.26"/>
    <n v="14"/>
    <n v="0.05"/>
    <d v="2025-10-17T00:00:00"/>
    <n v="2369.64"/>
    <n v="2251.1579999999999"/>
    <s v="NEW"/>
    <n v="118.482"/>
  </r>
  <r>
    <s v="TXN-10106 "/>
    <x v="88"/>
    <x v="83"/>
    <s v="North "/>
    <s v="Electronics "/>
    <n v="411"/>
    <n v="9"/>
    <n v="0.3"/>
    <d v="2025-08-15T00:00:00"/>
    <n v="3699"/>
    <n v="2589.2999999999997"/>
    <s v="NEW"/>
    <n v="1109.7"/>
  </r>
  <r>
    <s v="TXN-10107 "/>
    <x v="89"/>
    <x v="84"/>
    <s v="North "/>
    <s v="Hardware "/>
    <n v="127.66"/>
    <n v="12"/>
    <n v="0.25"/>
    <d v="2025-03-16T00:00:00"/>
    <n v="1531.92"/>
    <n v="1148.94"/>
    <s v="RETURNING"/>
    <n v="382.98"/>
  </r>
  <r>
    <s v="TXN-10108 "/>
    <x v="90"/>
    <x v="85"/>
    <s v="South "/>
    <s v="Furniture "/>
    <n v="408.12"/>
    <n v="2"/>
    <n v="0"/>
    <d v="2025-09-08T00:00:00"/>
    <n v="816.24"/>
    <n v="816.24"/>
    <s v="RETURNING"/>
    <n v="0"/>
  </r>
  <r>
    <s v="TXN-10109 "/>
    <x v="91"/>
    <x v="86"/>
    <s v="East "/>
    <s v="Software "/>
    <n v="379.45"/>
    <n v="6"/>
    <n v="0.2"/>
    <d v="2025-03-17T00:00:00"/>
    <n v="2276.6999999999998"/>
    <n v="1821.36"/>
    <s v="RETURNING"/>
    <n v="455.34"/>
  </r>
  <r>
    <s v="TXN-10110 "/>
    <x v="92"/>
    <x v="87"/>
    <s v="South "/>
    <s v="Furniture "/>
    <n v="91.79"/>
    <n v="10"/>
    <n v="0"/>
    <d v="2025-02-13T00:00:00"/>
    <n v="917.90000000000009"/>
    <n v="917.90000000000009"/>
    <s v="RETURNING"/>
    <n v="0"/>
  </r>
  <r>
    <s v="TXN-10111 "/>
    <x v="93"/>
    <x v="88"/>
    <s v="West "/>
    <s v="Hardware "/>
    <n v="40.159999999999997"/>
    <n v="7"/>
    <n v="0"/>
    <d v="2025-05-14T00:00:00"/>
    <n v="281.12"/>
    <n v="281.12"/>
    <s v="RETURNING"/>
    <n v="0"/>
  </r>
  <r>
    <s v="TXN-10112 "/>
    <x v="67"/>
    <x v="89"/>
    <s v="South "/>
    <s v="Electronics "/>
    <n v="90.64"/>
    <n v="10"/>
    <n v="0.1"/>
    <d v="2025-02-08T00:00:00"/>
    <n v="906.4"/>
    <n v="815.76"/>
    <s v="RETURNING"/>
    <n v="90.64"/>
  </r>
  <r>
    <s v="TXN-10113 "/>
    <x v="94"/>
    <x v="90"/>
    <s v="North "/>
    <s v="Furniture "/>
    <n v="369.89"/>
    <n v="6"/>
    <n v="0.2"/>
    <d v="2025-03-10T00:00:00"/>
    <n v="2219.34"/>
    <n v="1775.4720000000002"/>
    <s v="NEW"/>
    <n v="443.86800000000005"/>
  </r>
  <r>
    <s v="TXN-10114 "/>
    <x v="95"/>
    <x v="91"/>
    <s v="North "/>
    <s v="Electronics "/>
    <n v="404.29"/>
    <n v="5"/>
    <n v="0.05"/>
    <d v="2025-09-25T00:00:00"/>
    <n v="2021.45"/>
    <n v="1920.3775000000001"/>
    <s v="RETURNING"/>
    <n v="101.07250000000001"/>
  </r>
  <r>
    <s v="TXN-10115 "/>
    <x v="96"/>
    <x v="3"/>
    <s v="East "/>
    <s v="Furniture "/>
    <n v="71.34"/>
    <n v="9"/>
    <n v="0.1"/>
    <d v="2025-09-29T00:00:00"/>
    <n v="642.06000000000006"/>
    <n v="577.85400000000004"/>
    <s v="RETURNING"/>
    <n v="64.206000000000003"/>
  </r>
  <r>
    <s v="TXN-10116 "/>
    <x v="65"/>
    <x v="92"/>
    <s v="North "/>
    <s v="Electronics "/>
    <n v="254.62"/>
    <n v="11"/>
    <n v="0.05"/>
    <d v="2025-07-21T00:00:00"/>
    <n v="2800.82"/>
    <n v="2660.779"/>
    <s v="RETURNING"/>
    <n v="140.04100000000003"/>
  </r>
  <r>
    <s v="TXN-10117 "/>
    <x v="97"/>
    <x v="35"/>
    <s v="West "/>
    <s v="Furniture "/>
    <n v="329.69"/>
    <n v="10"/>
    <n v="0.05"/>
    <d v="2025-02-13T00:00:00"/>
    <n v="3296.9"/>
    <n v="3132.0549999999998"/>
    <s v="NEW"/>
    <n v="164.84500000000003"/>
  </r>
  <r>
    <s v="TXN-10118 "/>
    <x v="98"/>
    <x v="35"/>
    <s v="North "/>
    <s v="Software "/>
    <n v="48.12"/>
    <n v="1"/>
    <n v="0.05"/>
    <d v="2025-02-22T00:00:00"/>
    <n v="48.12"/>
    <n v="45.713999999999999"/>
    <s v="NEW"/>
    <n v="2.4060000000000001"/>
  </r>
  <r>
    <s v="TXN-10119 "/>
    <x v="99"/>
    <x v="10"/>
    <s v="South "/>
    <s v="Hardware "/>
    <n v="409.33"/>
    <n v="3"/>
    <n v="0.05"/>
    <d v="2025-01-05T00:00:00"/>
    <n v="1227.99"/>
    <n v="1166.5905"/>
    <s v="RETURNING"/>
    <n v="61.399500000000003"/>
  </r>
  <r>
    <s v="TXN-10120 "/>
    <x v="99"/>
    <x v="93"/>
    <s v="North "/>
    <s v="Electronics "/>
    <n v="397.2"/>
    <n v="3"/>
    <n v="0.15"/>
    <d v="2025-01-05T00:00:00"/>
    <n v="1191.5999999999999"/>
    <n v="1012.8599999999999"/>
    <s v="RETURNING"/>
    <n v="178.73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TXN-10001 "/>
    <s v="CUST-4170 "/>
    <x v="0"/>
    <x v="0"/>
    <x v="0"/>
    <n v="341.07"/>
    <n v="9"/>
    <n v="0.25"/>
    <d v="2025-05-25T00:00:00"/>
    <n v="3069.63"/>
    <n v="2302.2224999999999"/>
    <s v="RETURNING"/>
  </r>
  <r>
    <s v="TXN-10002 "/>
    <s v="CUST-6088 "/>
    <x v="1"/>
    <x v="1"/>
    <x v="1"/>
    <n v="31.02"/>
    <n v="1"/>
    <n v="0.2"/>
    <d v="2025-07-31T00:00:00"/>
    <n v="31.02"/>
    <n v="24.816000000000003"/>
    <s v="RETURNING"/>
  </r>
  <r>
    <s v="TXN-10003 "/>
    <s v="CUST-7265 "/>
    <x v="2"/>
    <x v="1"/>
    <x v="0"/>
    <n v="448.54"/>
    <n v="5"/>
    <n v="0.3"/>
    <d v="2025-10-26T00:00:00"/>
    <n v="2242.7000000000003"/>
    <n v="1569.89"/>
    <s v="RETURNING"/>
  </r>
  <r>
    <s v="TXN-10004 "/>
    <s v="CUST-4073 "/>
    <x v="3"/>
    <x v="2"/>
    <x v="2"/>
    <n v="122.6"/>
    <n v="14"/>
    <n v="0"/>
    <d v="2025-10-02T00:00:00"/>
    <n v="1716.3999999999999"/>
    <n v="1716.3999999999999"/>
    <s v="RETURNING"/>
  </r>
  <r>
    <s v="TXN-10005 "/>
    <s v="CUST-8270 "/>
    <x v="4"/>
    <x v="1"/>
    <x v="3"/>
    <n v="114.46"/>
    <n v="1"/>
    <n v="0.05"/>
    <d v="2025-05-31T00:00:00"/>
    <n v="114.46"/>
    <n v="108.73699999999999"/>
    <s v="RETURNING"/>
  </r>
  <r>
    <s v="TXN-10006 "/>
    <s v="CUST-4104 "/>
    <x v="5"/>
    <x v="2"/>
    <x v="1"/>
    <n v="241.33"/>
    <n v="6"/>
    <n v="0.1"/>
    <d v="2025-08-10T00:00:00"/>
    <n v="1447.98"/>
    <n v="1303.182"/>
    <s v="NEW"/>
  </r>
  <r>
    <s v="TXN-10007 "/>
    <s v="CUST-8683 "/>
    <x v="6"/>
    <x v="3"/>
    <x v="0"/>
    <n v="53.46"/>
    <n v="11"/>
    <n v="0"/>
    <d v="2025-06-05T00:00:00"/>
    <n v="588.06000000000006"/>
    <n v="588.06000000000006"/>
    <s v="RETURNING"/>
  </r>
  <r>
    <s v="TXN-10008 "/>
    <s v="CUST-6977 "/>
    <x v="7"/>
    <x v="0"/>
    <x v="0"/>
    <n v="284.83"/>
    <n v="2"/>
    <n v="0.1"/>
    <d v="2025-09-15T00:00:00"/>
    <n v="569.66"/>
    <n v="512.69399999999996"/>
    <s v="NEW"/>
  </r>
  <r>
    <s v="TXN-10009 "/>
    <s v="CUST-4840 "/>
    <x v="8"/>
    <x v="3"/>
    <x v="1"/>
    <n v="167.51"/>
    <n v="2"/>
    <n v="0.05"/>
    <d v="2025-08-11T00:00:00"/>
    <n v="335.02"/>
    <n v="318.26899999999995"/>
    <s v="NEW"/>
  </r>
  <r>
    <s v="TXN-10010 "/>
    <s v="CUST-3975 "/>
    <x v="9"/>
    <x v="0"/>
    <x v="1"/>
    <n v="166.49"/>
    <n v="6"/>
    <n v="0"/>
    <d v="2025-02-15T00:00:00"/>
    <n v="998.94"/>
    <n v="998.94"/>
    <s v="RETURNING"/>
  </r>
  <r>
    <s v="TXN-10011 "/>
    <s v="CUST-5658 "/>
    <x v="10"/>
    <x v="0"/>
    <x v="4"/>
    <n v="428.04"/>
    <n v="4"/>
    <n v="0.05"/>
    <d v="2025-02-27T00:00:00"/>
    <n v="1712.16"/>
    <n v="1626.5519999999999"/>
    <s v="RETURNING"/>
  </r>
  <r>
    <s v="TXN-10012 "/>
    <s v="CUST-3931 "/>
    <x v="11"/>
    <x v="1"/>
    <x v="3"/>
    <n v="43.81"/>
    <n v="5"/>
    <n v="0.05"/>
    <d v="2025-02-26T00:00:00"/>
    <n v="219.05"/>
    <n v="208.0975"/>
    <s v="RETURNING"/>
  </r>
  <r>
    <s v="TXN-10013 "/>
    <s v="CUST-4354 "/>
    <x v="12"/>
    <x v="1"/>
    <x v="2"/>
    <n v="267.14999999999998"/>
    <n v="11"/>
    <n v="0.1"/>
    <d v="2025-02-23T00:00:00"/>
    <n v="2938.6499999999996"/>
    <n v="2644.7849999999999"/>
    <s v="NEW"/>
  </r>
  <r>
    <s v="TXN-10014 "/>
    <s v="CUST-6134 "/>
    <x v="13"/>
    <x v="0"/>
    <x v="2"/>
    <n v="75.39"/>
    <n v="8"/>
    <n v="0.15"/>
    <d v="2025-09-04T00:00:00"/>
    <n v="603.12"/>
    <n v="512.65200000000004"/>
    <s v="NEW"/>
  </r>
  <r>
    <s v="TXN-10015 "/>
    <s v="CUST-3931 "/>
    <x v="14"/>
    <x v="3"/>
    <x v="2"/>
    <n v="239.13"/>
    <n v="2"/>
    <n v="0.2"/>
    <d v="2025-02-26T00:00:00"/>
    <n v="478.26"/>
    <n v="382.608"/>
    <s v="NEW"/>
  </r>
  <r>
    <s v="TXN-10016 "/>
    <s v="CUST-7019 "/>
    <x v="15"/>
    <x v="1"/>
    <x v="0"/>
    <n v="165.11"/>
    <n v="10"/>
    <n v="0.2"/>
    <d v="2025-06-17T00:00:00"/>
    <n v="1651.1000000000001"/>
    <n v="1320.88"/>
    <s v="NEW"/>
  </r>
  <r>
    <s v="TXN-10017 "/>
    <s v="CUST-9666 "/>
    <x v="16"/>
    <x v="1"/>
    <x v="0"/>
    <n v="215.44"/>
    <n v="10"/>
    <n v="0.25"/>
    <d v="2025-08-03T00:00:00"/>
    <n v="2154.4"/>
    <n v="1615.8000000000002"/>
    <s v="NEW"/>
  </r>
  <r>
    <s v="TXN-10018 "/>
    <s v="CUST-2528 "/>
    <x v="17"/>
    <x v="2"/>
    <x v="0"/>
    <n v="154.88999999999999"/>
    <n v="10"/>
    <n v="0"/>
    <d v="2025-02-23T00:00:00"/>
    <n v="1548.8999999999999"/>
    <n v="1548.8999999999999"/>
    <s v="NEW"/>
  </r>
  <r>
    <s v="TXN-10019 "/>
    <s v="CUST-1775 "/>
    <x v="18"/>
    <x v="0"/>
    <x v="2"/>
    <n v="415.58"/>
    <n v="13"/>
    <n v="0"/>
    <d v="2025-05-04T00:00:00"/>
    <n v="5402.54"/>
    <n v="5402.54"/>
    <s v="RETURNING"/>
  </r>
  <r>
    <s v="TXN-10020 "/>
    <s v="CUST-3747 "/>
    <x v="19"/>
    <x v="3"/>
    <x v="4"/>
    <n v="274.82"/>
    <n v="4"/>
    <n v="0.3"/>
    <d v="2025-03-04T00:00:00"/>
    <n v="1099.28"/>
    <n v="769.49599999999998"/>
    <s v="RETURNING"/>
  </r>
  <r>
    <s v="TXN-10021 "/>
    <s v="CUST-2678 "/>
    <x v="20"/>
    <x v="2"/>
    <x v="1"/>
    <n v="345.58"/>
    <n v="14"/>
    <n v="0.05"/>
    <d v="2025-04-05T00:00:00"/>
    <n v="4838.12"/>
    <n v="4596.2139999999999"/>
    <s v="RETURNING"/>
  </r>
  <r>
    <s v="TXN-10022 "/>
    <s v="CUST-4763 "/>
    <x v="21"/>
    <x v="3"/>
    <x v="2"/>
    <n v="325.31"/>
    <n v="7"/>
    <n v="0.25"/>
    <d v="2025-08-12T00:00:00"/>
    <n v="2277.17"/>
    <n v="1707.8775000000001"/>
    <s v="NEW"/>
  </r>
  <r>
    <s v="TXN-10023 "/>
    <s v="CUST-5973 "/>
    <x v="22"/>
    <x v="2"/>
    <x v="1"/>
    <n v="169.05"/>
    <n v="3"/>
    <n v="0.3"/>
    <d v="2025-07-10T00:00:00"/>
    <n v="507.15000000000003"/>
    <n v="355.005"/>
    <s v="NEW"/>
  </r>
  <r>
    <s v="TXN-10024 "/>
    <s v="CUST-3511 "/>
    <x v="23"/>
    <x v="1"/>
    <x v="3"/>
    <n v="23.73"/>
    <n v="9"/>
    <n v="0"/>
    <d v="2025-05-13T00:00:00"/>
    <n v="213.57"/>
    <n v="213.57"/>
    <s v="NEW"/>
  </r>
  <r>
    <s v="TXN-10025 "/>
    <s v="CUST-6539 "/>
    <x v="24"/>
    <x v="2"/>
    <x v="3"/>
    <n v="116.45"/>
    <n v="13"/>
    <n v="0.15"/>
    <d v="2025-05-21T00:00:00"/>
    <n v="1513.8500000000001"/>
    <n v="1286.7725"/>
    <s v="NEW"/>
  </r>
  <r>
    <s v="TXN-10026 "/>
    <s v="CUST-3047 "/>
    <x v="25"/>
    <x v="0"/>
    <x v="4"/>
    <n v="231.82"/>
    <n v="4"/>
    <n v="0.3"/>
    <d v="2025-07-05T00:00:00"/>
    <n v="927.28"/>
    <n v="649.09599999999989"/>
    <s v="RETURNING"/>
  </r>
  <r>
    <s v="TXN-10027 "/>
    <s v="CUST-2528 "/>
    <x v="26"/>
    <x v="3"/>
    <x v="4"/>
    <n v="260.54000000000002"/>
    <n v="10"/>
    <n v="0"/>
    <d v="2025-02-23T00:00:00"/>
    <n v="2605.4"/>
    <n v="2605.4"/>
    <s v="RETURNING"/>
  </r>
  <r>
    <s v="TXN-10028 "/>
    <s v="CUST-6056 "/>
    <x v="27"/>
    <x v="2"/>
    <x v="1"/>
    <n v="121.29"/>
    <n v="11"/>
    <n v="0.2"/>
    <d v="2025-10-17T00:00:00"/>
    <n v="1334.19"/>
    <n v="1067.3520000000001"/>
    <s v="NEW"/>
  </r>
  <r>
    <s v="TXN-10029 "/>
    <s v="CUST-7197 "/>
    <x v="28"/>
    <x v="1"/>
    <x v="0"/>
    <n v="81.489999999999995"/>
    <n v="7"/>
    <n v="0.15"/>
    <d v="2025-05-06T00:00:00"/>
    <n v="570.42999999999995"/>
    <n v="484.86549999999994"/>
    <s v="RETURNING"/>
  </r>
  <r>
    <s v="TXN-10030 "/>
    <s v="CUST-4104 "/>
    <x v="29"/>
    <x v="1"/>
    <x v="2"/>
    <n v="243.16"/>
    <n v="8"/>
    <n v="0.2"/>
    <d v="2025-08-10T00:00:00"/>
    <n v="1945.28"/>
    <n v="1556.2240000000002"/>
    <s v="NEW"/>
  </r>
  <r>
    <s v="TXN-10031 "/>
    <s v="CUST-4890 "/>
    <x v="3"/>
    <x v="2"/>
    <x v="1"/>
    <n v="265.56"/>
    <n v="11"/>
    <n v="0.15"/>
    <d v="2025-09-21T00:00:00"/>
    <n v="2921.16"/>
    <n v="2482.9859999999999"/>
    <s v="RETURNING"/>
  </r>
  <r>
    <s v="TXN-10032 "/>
    <s v="CUST-3693 "/>
    <x v="30"/>
    <x v="2"/>
    <x v="2"/>
    <n v="372.07"/>
    <n v="2"/>
    <n v="0.3"/>
    <d v="2025-04-03T00:00:00"/>
    <n v="744.14"/>
    <n v="520.89799999999991"/>
    <s v="RETURNING"/>
  </r>
  <r>
    <s v="TXN-10033 "/>
    <s v="CUST-3976 "/>
    <x v="31"/>
    <x v="0"/>
    <x v="0"/>
    <n v="349.73"/>
    <n v="6"/>
    <n v="0.05"/>
    <d v="2025-08-18T00:00:00"/>
    <n v="2098.38"/>
    <n v="1993.461"/>
    <s v="RETURNING"/>
  </r>
  <r>
    <s v="TXN-10034 "/>
    <s v="CUST-3790 "/>
    <x v="32"/>
    <x v="3"/>
    <x v="4"/>
    <n v="335.27"/>
    <n v="12"/>
    <n v="0.3"/>
    <d v="2025-06-28T00:00:00"/>
    <n v="4023.24"/>
    <n v="2816.2679999999996"/>
    <s v="RETURNING"/>
  </r>
  <r>
    <s v="TXN-10035 "/>
    <s v="CUST-8270 "/>
    <x v="33"/>
    <x v="3"/>
    <x v="0"/>
    <n v="235.16"/>
    <n v="4"/>
    <n v="0.2"/>
    <d v="2025-05-31T00:00:00"/>
    <n v="940.64"/>
    <n v="752.51200000000006"/>
    <s v="RETURNING"/>
  </r>
  <r>
    <s v="TXN-10036 "/>
    <s v="CUST-4436 "/>
    <x v="34"/>
    <x v="2"/>
    <x v="1"/>
    <n v="253.64"/>
    <n v="10"/>
    <n v="0.15"/>
    <d v="2025-01-14T00:00:00"/>
    <n v="2536.3999999999996"/>
    <n v="2155.9399999999996"/>
    <s v="NEW"/>
  </r>
  <r>
    <s v="TXN-10037 "/>
    <s v="CUST-7949 "/>
    <x v="35"/>
    <x v="3"/>
    <x v="4"/>
    <n v="75.39"/>
    <n v="9"/>
    <n v="0"/>
    <d v="2025-01-13T00:00:00"/>
    <n v="678.51"/>
    <n v="678.51"/>
    <s v="RETURNING"/>
  </r>
  <r>
    <s v="TXN-10038 "/>
    <s v="CUST-8022 "/>
    <x v="36"/>
    <x v="3"/>
    <x v="2"/>
    <n v="166.76"/>
    <n v="1"/>
    <n v="0.2"/>
    <d v="2025-01-12T00:00:00"/>
    <n v="166.76"/>
    <n v="133.40799999999999"/>
    <s v="RETURNING"/>
  </r>
  <r>
    <s v="TXN-10039 "/>
    <s v="CUST-1098 "/>
    <x v="37"/>
    <x v="1"/>
    <x v="2"/>
    <n v="423.18"/>
    <n v="12"/>
    <n v="0.1"/>
    <d v="2025-05-28T00:00:00"/>
    <n v="5078.16"/>
    <n v="4570.3440000000001"/>
    <s v="NEW"/>
  </r>
  <r>
    <s v="TXN-10040 "/>
    <s v="CUST-4556 "/>
    <x v="38"/>
    <x v="3"/>
    <x v="3"/>
    <n v="381.2"/>
    <n v="8"/>
    <n v="0.1"/>
    <d v="2025-04-11T00:00:00"/>
    <n v="3049.6"/>
    <n v="2744.64"/>
    <s v="RETURNING"/>
  </r>
  <r>
    <s v="TXN-10041 "/>
    <s v="CUST-7197 "/>
    <x v="39"/>
    <x v="2"/>
    <x v="2"/>
    <n v="86.46"/>
    <n v="5"/>
    <n v="0.1"/>
    <d v="2025-05-06T00:00:00"/>
    <n v="432.29999999999995"/>
    <n v="389.07"/>
    <s v="NEW"/>
  </r>
  <r>
    <s v="TXN-10042 "/>
    <s v="CUST-3062 "/>
    <x v="40"/>
    <x v="3"/>
    <x v="4"/>
    <n v="396.58"/>
    <n v="9"/>
    <n v="0.05"/>
    <d v="2025-03-17T00:00:00"/>
    <n v="3569.22"/>
    <n v="3390.7589999999996"/>
    <s v="RETURNING"/>
  </r>
  <r>
    <s v="TXN-10043 "/>
    <s v="CUST-6442 "/>
    <x v="41"/>
    <x v="3"/>
    <x v="2"/>
    <n v="286.48"/>
    <n v="1"/>
    <n v="0.3"/>
    <d v="2025-01-05T00:00:00"/>
    <n v="286.48"/>
    <n v="200.536"/>
    <s v="NEW"/>
  </r>
  <r>
    <s v="TXN-10044 "/>
    <s v="CUST-2016 "/>
    <x v="41"/>
    <x v="1"/>
    <x v="4"/>
    <n v="406.31"/>
    <n v="7"/>
    <n v="0.05"/>
    <d v="2025-01-01T00:00:00"/>
    <n v="2844.17"/>
    <n v="2701.9614999999999"/>
    <s v="RETURNING"/>
  </r>
  <r>
    <s v="TXN-10045 "/>
    <s v="CUST-2028 "/>
    <x v="42"/>
    <x v="0"/>
    <x v="2"/>
    <n v="202.71"/>
    <n v="3"/>
    <n v="0.3"/>
    <d v="2025-09-07T00:00:00"/>
    <n v="608.13"/>
    <n v="425.69099999999997"/>
    <s v="NEW"/>
  </r>
  <r>
    <s v="TXN-10046 "/>
    <s v="CUST-5218 "/>
    <x v="43"/>
    <x v="3"/>
    <x v="3"/>
    <n v="360.4"/>
    <n v="13"/>
    <n v="0"/>
    <d v="2025-04-09T00:00:00"/>
    <n v="4685.2"/>
    <n v="4685.2"/>
    <s v="NEW"/>
  </r>
  <r>
    <s v="TXN-10047 "/>
    <s v="CUST-6539 "/>
    <x v="15"/>
    <x v="1"/>
    <x v="4"/>
    <n v="150.6"/>
    <n v="5"/>
    <n v="0.1"/>
    <d v="2025-05-21T00:00:00"/>
    <n v="753"/>
    <n v="677.7"/>
    <s v="RETURNING"/>
  </r>
  <r>
    <s v="TXN-10048 "/>
    <s v="CUST-4327 "/>
    <x v="44"/>
    <x v="2"/>
    <x v="1"/>
    <n v="346.67"/>
    <n v="11"/>
    <n v="0.05"/>
    <d v="2025-03-23T00:00:00"/>
    <n v="3813.3700000000003"/>
    <n v="3622.7015000000001"/>
    <s v="NEW"/>
  </r>
  <r>
    <s v="TXN-10049 "/>
    <s v="CUST-3790 "/>
    <x v="45"/>
    <x v="0"/>
    <x v="3"/>
    <n v="213.8"/>
    <n v="4"/>
    <n v="0.3"/>
    <d v="2025-06-28T00:00:00"/>
    <n v="855.2"/>
    <n v="598.64"/>
    <s v="RETURNING"/>
  </r>
  <r>
    <s v="TXN-10050 "/>
    <s v="CUST-7585 "/>
    <x v="46"/>
    <x v="1"/>
    <x v="3"/>
    <n v="329.18"/>
    <n v="2"/>
    <n v="0.1"/>
    <d v="2025-07-02T00:00:00"/>
    <n v="658.36"/>
    <n v="592.524"/>
    <s v="RETURNING"/>
  </r>
  <r>
    <s v="TXN-10051 "/>
    <s v="CUST-4104 "/>
    <x v="47"/>
    <x v="3"/>
    <x v="3"/>
    <n v="326.54000000000002"/>
    <n v="11"/>
    <n v="0.2"/>
    <d v="2025-08-10T00:00:00"/>
    <n v="3591.94"/>
    <n v="2873.5520000000001"/>
    <s v="RETURNING"/>
  </r>
  <r>
    <s v="TXN-10052 "/>
    <s v="CUST-4748 "/>
    <x v="48"/>
    <x v="2"/>
    <x v="1"/>
    <n v="427.07"/>
    <n v="12"/>
    <n v="0.05"/>
    <d v="2025-04-09T00:00:00"/>
    <n v="5124.84"/>
    <n v="4868.598"/>
    <s v="NEW"/>
  </r>
  <r>
    <s v="TXN-10053 "/>
    <s v="CUST-7776 "/>
    <x v="49"/>
    <x v="2"/>
    <x v="4"/>
    <n v="126.37"/>
    <n v="8"/>
    <n v="0.15"/>
    <d v="2025-08-05T00:00:00"/>
    <n v="1010.96"/>
    <n v="859.31600000000003"/>
    <s v="NEW"/>
  </r>
  <r>
    <s v="TXN-10054 "/>
    <s v="CUST-6249 "/>
    <x v="50"/>
    <x v="3"/>
    <x v="3"/>
    <n v="358.69"/>
    <n v="5"/>
    <n v="0.3"/>
    <d v="2025-03-17T00:00:00"/>
    <n v="1793.45"/>
    <n v="1255.415"/>
    <s v="RETURNING"/>
  </r>
  <r>
    <s v="TXN-10055 "/>
    <s v="CUST-1502 "/>
    <x v="51"/>
    <x v="0"/>
    <x v="1"/>
    <n v="44.98"/>
    <n v="3"/>
    <n v="0.2"/>
    <d v="2025-04-06T00:00:00"/>
    <n v="134.94"/>
    <n v="107.952"/>
    <s v="RETURNING"/>
  </r>
  <r>
    <s v="TXN-10056 "/>
    <s v="CUST-6442 "/>
    <x v="52"/>
    <x v="0"/>
    <x v="4"/>
    <n v="64.260000000000005"/>
    <n v="5"/>
    <n v="0.05"/>
    <d v="2025-01-05T00:00:00"/>
    <n v="321.3"/>
    <n v="305.23500000000001"/>
    <s v="RETURNING"/>
  </r>
  <r>
    <s v="TXN-10057 "/>
    <s v="CUST-1206 "/>
    <x v="4"/>
    <x v="0"/>
    <x v="4"/>
    <n v="159.47999999999999"/>
    <n v="6"/>
    <n v="0.3"/>
    <d v="2025-10-07T00:00:00"/>
    <n v="956.87999999999988"/>
    <n v="669.81599999999992"/>
    <s v="NEW"/>
  </r>
  <r>
    <s v="TXN-10058 "/>
    <s v="CUST-1663 "/>
    <x v="53"/>
    <x v="1"/>
    <x v="4"/>
    <n v="104.43"/>
    <n v="9"/>
    <n v="0.2"/>
    <d v="2025-02-05T00:00:00"/>
    <n v="939.87000000000012"/>
    <n v="751.89600000000019"/>
    <s v="NEW"/>
  </r>
  <r>
    <s v="TXN-10059 "/>
    <s v="CUST-4763 "/>
    <x v="54"/>
    <x v="0"/>
    <x v="3"/>
    <n v="248.77"/>
    <n v="11"/>
    <n v="0.25"/>
    <d v="2025-08-12T00:00:00"/>
    <n v="2736.4700000000003"/>
    <n v="2052.3525"/>
    <s v="NEW"/>
  </r>
  <r>
    <s v="TXN-10060 "/>
    <s v="CUST-9155 "/>
    <x v="55"/>
    <x v="0"/>
    <x v="4"/>
    <n v="270.37"/>
    <n v="11"/>
    <n v="0.15"/>
    <d v="2025-05-02T00:00:00"/>
    <n v="2974.07"/>
    <n v="2527.9594999999999"/>
    <s v="NEW"/>
  </r>
  <r>
    <s v="TXN-10061 "/>
    <s v="CUST-5496 "/>
    <x v="56"/>
    <x v="3"/>
    <x v="4"/>
    <n v="231.79"/>
    <n v="6"/>
    <n v="0.2"/>
    <d v="2025-09-09T00:00:00"/>
    <n v="1390.74"/>
    <n v="1112.5920000000001"/>
    <s v="NEW"/>
  </r>
  <r>
    <s v="TXN-10062 "/>
    <s v="CUST-8280 "/>
    <x v="57"/>
    <x v="0"/>
    <x v="2"/>
    <n v="290.02999999999997"/>
    <n v="12"/>
    <n v="0.05"/>
    <d v="2025-10-13T00:00:00"/>
    <n v="3480.3599999999997"/>
    <n v="3306.3419999999996"/>
    <s v="NEW"/>
  </r>
  <r>
    <s v="TXN-10063 "/>
    <s v="CUST-4152 "/>
    <x v="58"/>
    <x v="3"/>
    <x v="4"/>
    <n v="79.67"/>
    <n v="6"/>
    <n v="0.25"/>
    <d v="2025-06-07T00:00:00"/>
    <n v="478.02"/>
    <n v="358.51499999999999"/>
    <s v="NEW"/>
  </r>
  <r>
    <s v="TXN-10064 "/>
    <s v="CUST-2016 "/>
    <x v="59"/>
    <x v="1"/>
    <x v="4"/>
    <n v="149.82"/>
    <n v="14"/>
    <n v="0.3"/>
    <d v="2025-01-01T00:00:00"/>
    <n v="2097.48"/>
    <n v="1468.2359999999999"/>
    <s v="RETURNING"/>
  </r>
  <r>
    <s v="TXN-10065 "/>
    <s v="CUST-9120 "/>
    <x v="60"/>
    <x v="2"/>
    <x v="0"/>
    <n v="286.86"/>
    <n v="13"/>
    <n v="0.25"/>
    <d v="2025-07-13T00:00:00"/>
    <n v="3729.1800000000003"/>
    <n v="2796.8850000000002"/>
    <s v="NEW"/>
  </r>
  <r>
    <s v="TXN-10066 "/>
    <s v="CUST-9901 "/>
    <x v="61"/>
    <x v="2"/>
    <x v="4"/>
    <n v="352.35"/>
    <n v="2"/>
    <n v="0.05"/>
    <d v="2025-06-13T00:00:00"/>
    <n v="704.7"/>
    <n v="669.46500000000003"/>
    <s v="RETURNING"/>
  </r>
  <r>
    <s v="TXN-10067 "/>
    <s v="CUST-8721 "/>
    <x v="62"/>
    <x v="2"/>
    <x v="2"/>
    <n v="82.53"/>
    <n v="1"/>
    <n v="0.2"/>
    <d v="2025-06-09T00:00:00"/>
    <n v="82.53"/>
    <n v="66.024000000000001"/>
    <s v="NEW"/>
  </r>
  <r>
    <s v="TXN-10068 "/>
    <s v="CUST-4843 "/>
    <x v="63"/>
    <x v="3"/>
    <x v="1"/>
    <n v="132.77000000000001"/>
    <n v="14"/>
    <n v="0.05"/>
    <d v="2025-02-27T00:00:00"/>
    <n v="1858.7800000000002"/>
    <n v="1765.8410000000001"/>
    <s v="RETURNING"/>
  </r>
  <r>
    <s v="TXN-10069 "/>
    <s v="CUST-7736 "/>
    <x v="64"/>
    <x v="3"/>
    <x v="1"/>
    <n v="392.14"/>
    <n v="8"/>
    <n v="0"/>
    <d v="2025-04-04T00:00:00"/>
    <n v="3137.12"/>
    <n v="3137.12"/>
    <s v="RETURNING"/>
  </r>
  <r>
    <s v="TXN-10070 "/>
    <s v="CUST-5911 "/>
    <x v="51"/>
    <x v="0"/>
    <x v="2"/>
    <n v="234.9"/>
    <n v="8"/>
    <n v="0.25"/>
    <d v="2025-05-29T00:00:00"/>
    <n v="1879.2"/>
    <n v="1409.4"/>
    <s v="NEW"/>
  </r>
  <r>
    <s v="TXN-10071 "/>
    <s v="CUST-7015 "/>
    <x v="65"/>
    <x v="0"/>
    <x v="2"/>
    <n v="298.94"/>
    <n v="8"/>
    <n v="0.05"/>
    <d v="2025-08-01T00:00:00"/>
    <n v="2391.52"/>
    <n v="2271.944"/>
    <s v="RETURNING"/>
  </r>
  <r>
    <s v="TXN-10072 "/>
    <s v="CUST-9319 "/>
    <x v="66"/>
    <x v="2"/>
    <x v="2"/>
    <n v="433.75"/>
    <n v="4"/>
    <n v="0.2"/>
    <d v="2025-07-16T00:00:00"/>
    <n v="1735"/>
    <n v="1388"/>
    <s v="NEW"/>
  </r>
  <r>
    <s v="TXN-10073 "/>
    <s v="CUST-3327 "/>
    <x v="67"/>
    <x v="0"/>
    <x v="1"/>
    <n v="20.66"/>
    <n v="7"/>
    <n v="0"/>
    <d v="2025-08-08T00:00:00"/>
    <n v="144.62"/>
    <n v="144.62"/>
    <s v="NEW"/>
  </r>
  <r>
    <s v="TXN-10074 "/>
    <s v="CUST-8994 "/>
    <x v="68"/>
    <x v="3"/>
    <x v="0"/>
    <n v="396.25"/>
    <n v="13"/>
    <n v="0.15"/>
    <d v="2025-06-01T00:00:00"/>
    <n v="5151.25"/>
    <n v="4378.5625"/>
    <s v="RETURNING"/>
  </r>
  <r>
    <s v="TXN-10075 "/>
    <s v="CUST-6463 "/>
    <x v="65"/>
    <x v="0"/>
    <x v="0"/>
    <n v="163.69"/>
    <n v="10"/>
    <n v="0.3"/>
    <d v="2025-07-04T00:00:00"/>
    <n v="1636.9"/>
    <n v="1145.83"/>
    <s v="RETURNING"/>
  </r>
  <r>
    <s v="TXN-10076 "/>
    <s v="CUST-8098 "/>
    <x v="42"/>
    <x v="3"/>
    <x v="3"/>
    <n v="286.5"/>
    <n v="6"/>
    <n v="0.25"/>
    <d v="2025-08-09T00:00:00"/>
    <n v="1719"/>
    <n v="1289.25"/>
    <s v="RETURNING"/>
  </r>
  <r>
    <s v="TXN-10077 "/>
    <s v="CUST-2154 "/>
    <x v="69"/>
    <x v="0"/>
    <x v="3"/>
    <n v="438.93"/>
    <n v="12"/>
    <n v="0"/>
    <d v="2025-07-21T00:00:00"/>
    <n v="5267.16"/>
    <n v="5267.16"/>
    <s v="RETURNING"/>
  </r>
  <r>
    <s v="TXN-10078 "/>
    <s v="CUST-9680 "/>
    <x v="69"/>
    <x v="0"/>
    <x v="4"/>
    <n v="225.88"/>
    <n v="1"/>
    <n v="0.25"/>
    <d v="2025-09-10T00:00:00"/>
    <n v="225.88"/>
    <n v="169.41"/>
    <s v="RETURNING"/>
  </r>
  <r>
    <s v="TXN-10079 "/>
    <s v="CUST-6578 "/>
    <x v="70"/>
    <x v="1"/>
    <x v="4"/>
    <n v="127.18"/>
    <n v="6"/>
    <n v="0.25"/>
    <d v="2025-02-08T00:00:00"/>
    <n v="763.08"/>
    <n v="572.31000000000006"/>
    <s v="RETURNING"/>
  </r>
  <r>
    <s v="TXN-10080 "/>
    <s v="CUST-6592 "/>
    <x v="9"/>
    <x v="2"/>
    <x v="1"/>
    <n v="406.75"/>
    <n v="2"/>
    <n v="0.3"/>
    <d v="2025-02-27T00:00:00"/>
    <n v="813.5"/>
    <n v="569.44999999999993"/>
    <s v="NEW"/>
  </r>
  <r>
    <s v="TXN-10081 "/>
    <s v="CUST-6854 "/>
    <x v="71"/>
    <x v="2"/>
    <x v="0"/>
    <n v="369.55"/>
    <n v="9"/>
    <n v="0.25"/>
    <d v="2025-10-13T00:00:00"/>
    <n v="3325.9500000000003"/>
    <n v="2494.4625000000001"/>
    <s v="NEW"/>
  </r>
  <r>
    <s v="TXN-10082 "/>
    <s v="CUST-2528 "/>
    <x v="26"/>
    <x v="1"/>
    <x v="1"/>
    <n v="328.29"/>
    <n v="5"/>
    <n v="0.05"/>
    <d v="2025-02-23T00:00:00"/>
    <n v="1641.45"/>
    <n v="1559.3775000000001"/>
    <s v="RETURNING"/>
  </r>
  <r>
    <s v="TXN-10083 "/>
    <s v="CUST-1189 "/>
    <x v="72"/>
    <x v="2"/>
    <x v="2"/>
    <n v="274.87"/>
    <n v="12"/>
    <n v="0.2"/>
    <d v="2025-07-09T00:00:00"/>
    <n v="3298.44"/>
    <n v="2638.7520000000004"/>
    <s v="RETURNING"/>
  </r>
  <r>
    <s v="TXN-10084 "/>
    <s v="CUST-2707 "/>
    <x v="3"/>
    <x v="1"/>
    <x v="3"/>
    <n v="350.35"/>
    <n v="14"/>
    <n v="0.05"/>
    <d v="2025-10-11T00:00:00"/>
    <n v="4904.9000000000005"/>
    <n v="4659.6550000000007"/>
    <s v="RETURNING"/>
  </r>
  <r>
    <s v="TXN-10085 "/>
    <s v="CUST-1659 "/>
    <x v="58"/>
    <x v="3"/>
    <x v="2"/>
    <n v="121.73"/>
    <n v="5"/>
    <n v="0.1"/>
    <d v="2025-06-12T00:00:00"/>
    <n v="608.65"/>
    <n v="547.78499999999997"/>
    <s v="NEW"/>
  </r>
  <r>
    <s v="TXN-10086 "/>
    <s v="CUST-6442 "/>
    <x v="73"/>
    <x v="3"/>
    <x v="4"/>
    <n v="328.87"/>
    <n v="8"/>
    <n v="0.1"/>
    <d v="2025-01-05T00:00:00"/>
    <n v="2630.96"/>
    <n v="2367.864"/>
    <s v="NEW"/>
  </r>
  <r>
    <s v="TXN-10087 "/>
    <s v="CUST-9996 "/>
    <x v="41"/>
    <x v="3"/>
    <x v="0"/>
    <n v="225.43"/>
    <n v="10"/>
    <n v="0.15"/>
    <d v="2025-01-10T00:00:00"/>
    <n v="2254.3000000000002"/>
    <n v="1916.1550000000002"/>
    <s v="NEW"/>
  </r>
  <r>
    <s v="TXN-10088 "/>
    <s v="CUST-5973 "/>
    <x v="74"/>
    <x v="0"/>
    <x v="3"/>
    <n v="37.369999999999997"/>
    <n v="14"/>
    <n v="0.1"/>
    <d v="2025-07-10T00:00:00"/>
    <n v="523.17999999999995"/>
    <n v="470.86199999999997"/>
    <s v="NEW"/>
  </r>
  <r>
    <s v="TXN-10089 "/>
    <s v="CUST-2843 "/>
    <x v="11"/>
    <x v="1"/>
    <x v="4"/>
    <n v="47.68"/>
    <n v="1"/>
    <n v="0"/>
    <d v="2025-03-15T00:00:00"/>
    <n v="47.68"/>
    <n v="47.68"/>
    <s v="RETURNING"/>
  </r>
  <r>
    <s v="TXN-10090 "/>
    <s v="CUST-9815 "/>
    <x v="75"/>
    <x v="3"/>
    <x v="1"/>
    <n v="214.96"/>
    <n v="3"/>
    <n v="0.1"/>
    <d v="2025-08-05T00:00:00"/>
    <n v="644.88"/>
    <n v="580.39200000000005"/>
    <s v="RETURNING"/>
  </r>
  <r>
    <s v="TXN-10091 "/>
    <s v="CUST-7197 "/>
    <x v="76"/>
    <x v="0"/>
    <x v="1"/>
    <n v="59.85"/>
    <n v="5"/>
    <n v="0.15"/>
    <d v="2025-05-06T00:00:00"/>
    <n v="299.25"/>
    <n v="254.36249999999998"/>
    <s v="NEW"/>
  </r>
  <r>
    <s v="TXN-10092 "/>
    <s v="CUST-7420 "/>
    <x v="3"/>
    <x v="0"/>
    <x v="4"/>
    <n v="95.53"/>
    <n v="14"/>
    <n v="0.1"/>
    <d v="2025-09-21T00:00:00"/>
    <n v="1337.42"/>
    <n v="1203.6780000000001"/>
    <s v="RETURNING"/>
  </r>
  <r>
    <s v="TXN-10093 "/>
    <s v="CUST-5893 "/>
    <x v="63"/>
    <x v="1"/>
    <x v="0"/>
    <n v="316.14"/>
    <n v="6"/>
    <n v="0"/>
    <d v="2025-05-24T00:00:00"/>
    <n v="1896.84"/>
    <n v="1896.84"/>
    <s v="RETURNING"/>
  </r>
  <r>
    <s v="TXN-10094 "/>
    <s v="CUST-6892 "/>
    <x v="77"/>
    <x v="0"/>
    <x v="1"/>
    <n v="37.44"/>
    <n v="10"/>
    <n v="0.3"/>
    <d v="2025-07-23T00:00:00"/>
    <n v="374.4"/>
    <n v="262.08"/>
    <s v="RETURNING"/>
  </r>
  <r>
    <s v="TXN-10095 "/>
    <s v="CUST-2184 "/>
    <x v="78"/>
    <x v="0"/>
    <x v="4"/>
    <n v="93.55"/>
    <n v="5"/>
    <n v="0.25"/>
    <d v="2025-09-10T00:00:00"/>
    <n v="467.75"/>
    <n v="350.8125"/>
    <s v="RETURNING"/>
  </r>
  <r>
    <s v="TXN-10096 "/>
    <s v="CUST-2218 "/>
    <x v="16"/>
    <x v="0"/>
    <x v="0"/>
    <n v="333"/>
    <n v="3"/>
    <n v="0.05"/>
    <d v="2025-07-22T00:00:00"/>
    <n v="999"/>
    <n v="949.05"/>
    <s v="NEW"/>
  </r>
  <r>
    <s v="TXN-10097 "/>
    <s v="CUST-1262 "/>
    <x v="79"/>
    <x v="0"/>
    <x v="3"/>
    <n v="382.38"/>
    <n v="2"/>
    <n v="0.1"/>
    <d v="2025-05-16T00:00:00"/>
    <n v="764.76"/>
    <n v="688.28399999999999"/>
    <s v="RETURNING"/>
  </r>
  <r>
    <s v="TXN-10098 "/>
    <s v="CUST-4840 "/>
    <x v="29"/>
    <x v="0"/>
    <x v="2"/>
    <n v="258.89"/>
    <n v="13"/>
    <n v="0.05"/>
    <d v="2025-08-11T00:00:00"/>
    <n v="3365.5699999999997"/>
    <n v="3197.2914999999994"/>
    <s v="NEW"/>
  </r>
  <r>
    <s v="TXN-10099 "/>
    <s v="CUST-7668 "/>
    <x v="31"/>
    <x v="3"/>
    <x v="1"/>
    <n v="330.27"/>
    <n v="12"/>
    <n v="0.3"/>
    <d v="2025-08-03T00:00:00"/>
    <n v="3963.24"/>
    <n v="2774.2679999999996"/>
    <s v="RETURNING"/>
  </r>
  <r>
    <s v="TXN-10100 "/>
    <s v="CUST-6311 "/>
    <x v="80"/>
    <x v="3"/>
    <x v="0"/>
    <n v="302.82"/>
    <n v="13"/>
    <n v="0.05"/>
    <d v="2025-06-22T00:00:00"/>
    <n v="3936.66"/>
    <n v="3739.8269999999998"/>
    <s v="RETURNING"/>
  </r>
  <r>
    <s v="TXN-10101 "/>
    <s v="CUST-8280 "/>
    <x v="3"/>
    <x v="2"/>
    <x v="3"/>
    <n v="116.34"/>
    <n v="7"/>
    <n v="0.1"/>
    <d v="2025-10-13T00:00:00"/>
    <n v="814.38"/>
    <n v="732.94200000000001"/>
    <s v="RETURNING"/>
  </r>
  <r>
    <s v="TXN-10102 "/>
    <s v="CUST-7528 "/>
    <x v="3"/>
    <x v="0"/>
    <x v="0"/>
    <n v="245.09"/>
    <n v="3"/>
    <n v="0.1"/>
    <d v="2025-08-21T00:00:00"/>
    <n v="735.27"/>
    <n v="661.74300000000005"/>
    <s v="RETURNING"/>
  </r>
  <r>
    <s v="TXN-10103 "/>
    <s v="CUST-9792 "/>
    <x v="48"/>
    <x v="1"/>
    <x v="4"/>
    <n v="189.84"/>
    <n v="5"/>
    <n v="0.15"/>
    <d v="2025-04-18T00:00:00"/>
    <n v="949.2"/>
    <n v="806.82"/>
    <s v="NEW"/>
  </r>
  <r>
    <s v="TXN-10104 "/>
    <s v="CUST-8777 "/>
    <x v="81"/>
    <x v="3"/>
    <x v="4"/>
    <n v="349.2"/>
    <n v="9"/>
    <n v="0.3"/>
    <d v="2025-02-08T00:00:00"/>
    <n v="3142.7999999999997"/>
    <n v="2199.9599999999996"/>
    <s v="RETURNING"/>
  </r>
  <r>
    <s v="TXN-10105 "/>
    <s v="CUST-7439 "/>
    <x v="82"/>
    <x v="0"/>
    <x v="0"/>
    <n v="169.26"/>
    <n v="14"/>
    <n v="0.05"/>
    <d v="2025-10-17T00:00:00"/>
    <n v="2369.64"/>
    <n v="2251.1579999999999"/>
    <s v="NEW"/>
  </r>
  <r>
    <s v="TXN-10106 "/>
    <s v="CUST-6530 "/>
    <x v="83"/>
    <x v="1"/>
    <x v="4"/>
    <n v="411"/>
    <n v="9"/>
    <n v="0.3"/>
    <d v="2025-08-15T00:00:00"/>
    <n v="3699"/>
    <n v="2589.2999999999997"/>
    <s v="NEW"/>
  </r>
  <r>
    <s v="TXN-10107 "/>
    <s v="CUST-2306 "/>
    <x v="84"/>
    <x v="1"/>
    <x v="0"/>
    <n v="127.66"/>
    <n v="12"/>
    <n v="0.25"/>
    <d v="2025-03-16T00:00:00"/>
    <n v="1531.92"/>
    <n v="1148.94"/>
    <s v="RETURNING"/>
  </r>
  <r>
    <s v="TXN-10108 "/>
    <s v="CUST-1569 "/>
    <x v="85"/>
    <x v="2"/>
    <x v="2"/>
    <n v="408.12"/>
    <n v="2"/>
    <n v="0"/>
    <d v="2025-09-08T00:00:00"/>
    <n v="816.24"/>
    <n v="816.24"/>
    <s v="RETURNING"/>
  </r>
  <r>
    <s v="TXN-10109 "/>
    <s v="CUST-3911 "/>
    <x v="86"/>
    <x v="0"/>
    <x v="3"/>
    <n v="379.45"/>
    <n v="6"/>
    <n v="0.2"/>
    <d v="2025-03-17T00:00:00"/>
    <n v="2276.6999999999998"/>
    <n v="1821.36"/>
    <s v="RETURNING"/>
  </r>
  <r>
    <s v="TXN-10110 "/>
    <s v="CUST-9352 "/>
    <x v="87"/>
    <x v="2"/>
    <x v="2"/>
    <n v="91.79"/>
    <n v="10"/>
    <n v="0"/>
    <d v="2025-02-13T00:00:00"/>
    <n v="917.90000000000009"/>
    <n v="917.90000000000009"/>
    <s v="RETURNING"/>
  </r>
  <r>
    <s v="TXN-10111 "/>
    <s v="CUST-3869 "/>
    <x v="88"/>
    <x v="3"/>
    <x v="0"/>
    <n v="40.159999999999997"/>
    <n v="7"/>
    <n v="0"/>
    <d v="2025-05-14T00:00:00"/>
    <n v="281.12"/>
    <n v="281.12"/>
    <s v="RETURNING"/>
  </r>
  <r>
    <s v="TXN-10112 "/>
    <s v="CUST-6578 "/>
    <x v="89"/>
    <x v="2"/>
    <x v="4"/>
    <n v="90.64"/>
    <n v="10"/>
    <n v="0.1"/>
    <d v="2025-02-08T00:00:00"/>
    <n v="906.4"/>
    <n v="815.76"/>
    <s v="RETURNING"/>
  </r>
  <r>
    <s v="TXN-10113 "/>
    <s v="CUST-1202 "/>
    <x v="90"/>
    <x v="1"/>
    <x v="2"/>
    <n v="369.89"/>
    <n v="6"/>
    <n v="0.2"/>
    <d v="2025-03-10T00:00:00"/>
    <n v="2219.34"/>
    <n v="1775.4720000000002"/>
    <s v="NEW"/>
  </r>
  <r>
    <s v="TXN-10114 "/>
    <s v="CUST-9755 "/>
    <x v="91"/>
    <x v="1"/>
    <x v="4"/>
    <n v="404.29"/>
    <n v="5"/>
    <n v="0.05"/>
    <d v="2025-09-25T00:00:00"/>
    <n v="2021.45"/>
    <n v="1920.3775000000001"/>
    <s v="RETURNING"/>
  </r>
  <r>
    <s v="TXN-10115 "/>
    <s v="CUST-8996 "/>
    <x v="3"/>
    <x v="0"/>
    <x v="2"/>
    <n v="71.34"/>
    <n v="9"/>
    <n v="0.1"/>
    <d v="2025-09-29T00:00:00"/>
    <n v="642.06000000000006"/>
    <n v="577.85400000000004"/>
    <s v="RETURNING"/>
  </r>
  <r>
    <s v="TXN-10116 "/>
    <s v="CUST-2154 "/>
    <x v="92"/>
    <x v="1"/>
    <x v="4"/>
    <n v="254.62"/>
    <n v="11"/>
    <n v="0.05"/>
    <d v="2025-07-21T00:00:00"/>
    <n v="2800.82"/>
    <n v="2660.779"/>
    <s v="RETURNING"/>
  </r>
  <r>
    <s v="TXN-10117 "/>
    <s v="CUST-8574 "/>
    <x v="35"/>
    <x v="3"/>
    <x v="2"/>
    <n v="329.69"/>
    <n v="10"/>
    <n v="0.05"/>
    <d v="2025-02-13T00:00:00"/>
    <n v="3296.9"/>
    <n v="3132.0549999999998"/>
    <s v="NEW"/>
  </r>
  <r>
    <s v="TXN-10118 "/>
    <s v="CUST-9838 "/>
    <x v="35"/>
    <x v="1"/>
    <x v="3"/>
    <n v="48.12"/>
    <n v="1"/>
    <n v="0.05"/>
    <d v="2025-02-22T00:00:00"/>
    <n v="48.12"/>
    <n v="45.713999999999999"/>
    <s v="NEW"/>
  </r>
  <r>
    <s v="TXN-10119 "/>
    <s v="CUST-9433 "/>
    <x v="10"/>
    <x v="2"/>
    <x v="0"/>
    <n v="409.33"/>
    <n v="3"/>
    <n v="0.05"/>
    <d v="2025-01-05T00:00:00"/>
    <n v="1227.99"/>
    <n v="1166.5905"/>
    <s v="RETURNING"/>
  </r>
  <r>
    <s v="TXN-10120 "/>
    <s v="CUST-9433 "/>
    <x v="93"/>
    <x v="1"/>
    <x v="4"/>
    <n v="397.2"/>
    <n v="3"/>
    <n v="0.15"/>
    <d v="2025-01-05T00:00:00"/>
    <n v="1191.5999999999999"/>
    <n v="1012.8599999999999"/>
    <s v="RETURNIN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TXN-10001 "/>
    <s v="CUST-4170 "/>
    <x v="0"/>
    <s v="East "/>
    <s v="Hardware "/>
    <n v="341.07"/>
    <n v="9"/>
    <n v="0.25"/>
    <d v="2025-05-25T00:00:00"/>
    <n v="3069.63"/>
    <n v="2302.2224999999999"/>
    <s v="RETURNING"/>
    <n v="767.40750000000003"/>
    <s v="High Risk"/>
  </r>
  <r>
    <s v="TXN-10002 "/>
    <s v="CUST-6088 "/>
    <x v="1"/>
    <s v="North "/>
    <s v="Office Supplies "/>
    <n v="31.02"/>
    <n v="1"/>
    <n v="0.2"/>
    <d v="2025-07-31T00:00:00"/>
    <n v="31.02"/>
    <n v="24.816000000000003"/>
    <s v="RETURNING"/>
    <n v="6.2040000000000006"/>
    <s v="Good"/>
  </r>
  <r>
    <s v="TXN-10003 "/>
    <s v="CUST-7265 "/>
    <x v="2"/>
    <s v="North "/>
    <s v="Hardware "/>
    <n v="448.54"/>
    <n v="5"/>
    <n v="0.3"/>
    <d v="2025-10-26T00:00:00"/>
    <n v="2242.7000000000003"/>
    <n v="1569.89"/>
    <s v="RETURNING"/>
    <n v="672.81000000000006"/>
    <s v="High Risk"/>
  </r>
  <r>
    <s v="TXN-10004 "/>
    <s v="CUST-4073 "/>
    <x v="3"/>
    <s v="South "/>
    <s v="Furniture "/>
    <n v="122.6"/>
    <n v="14"/>
    <n v="0"/>
    <d v="2025-10-02T00:00:00"/>
    <n v="1716.3999999999999"/>
    <n v="1716.3999999999999"/>
    <s v="RETURNING"/>
    <n v="0"/>
    <s v="Good"/>
  </r>
  <r>
    <s v="TXN-10005 "/>
    <s v="CUST-8270 "/>
    <x v="4"/>
    <s v="North "/>
    <s v="Software "/>
    <n v="114.46"/>
    <n v="1"/>
    <n v="0.05"/>
    <d v="2025-05-31T00:00:00"/>
    <n v="114.46"/>
    <n v="108.73699999999999"/>
    <s v="RETURNING"/>
    <n v="5.7229999999999999"/>
    <s v="Good"/>
  </r>
  <r>
    <s v="TXN-10006 "/>
    <s v="CUST-4104 "/>
    <x v="5"/>
    <s v="South "/>
    <s v="Office Supplies "/>
    <n v="241.33"/>
    <n v="6"/>
    <n v="0.1"/>
    <d v="2025-08-10T00:00:00"/>
    <n v="1447.98"/>
    <n v="1303.182"/>
    <s v="NEW"/>
    <n v="144.798"/>
    <s v="Good"/>
  </r>
  <r>
    <s v="TXN-10007 "/>
    <s v="CUST-8683 "/>
    <x v="6"/>
    <s v="West "/>
    <s v="Hardware "/>
    <n v="53.46"/>
    <n v="11"/>
    <n v="0"/>
    <d v="2025-06-05T00:00:00"/>
    <n v="588.06000000000006"/>
    <n v="588.06000000000006"/>
    <s v="RETURNING"/>
    <n v="0"/>
    <s v="Good"/>
  </r>
  <r>
    <s v="TXN-10008 "/>
    <s v="CUST-6977 "/>
    <x v="7"/>
    <s v="East "/>
    <s v="Hardware "/>
    <n v="284.83"/>
    <n v="2"/>
    <n v="0.1"/>
    <d v="2025-09-15T00:00:00"/>
    <n v="569.66"/>
    <n v="512.69399999999996"/>
    <s v="NEW"/>
    <n v="56.966000000000001"/>
    <s v="Good"/>
  </r>
  <r>
    <s v="TXN-10009 "/>
    <s v="CUST-4840 "/>
    <x v="8"/>
    <s v="West "/>
    <s v="Office Supplies "/>
    <n v="167.51"/>
    <n v="2"/>
    <n v="0.05"/>
    <d v="2025-08-11T00:00:00"/>
    <n v="335.02"/>
    <n v="318.26899999999995"/>
    <s v="NEW"/>
    <n v="16.751000000000001"/>
    <s v="Good"/>
  </r>
  <r>
    <s v="TXN-10010 "/>
    <s v="CUST-3975 "/>
    <x v="9"/>
    <s v="East "/>
    <s v="Office Supplies "/>
    <n v="166.49"/>
    <n v="6"/>
    <n v="0"/>
    <d v="2025-02-15T00:00:00"/>
    <n v="998.94"/>
    <n v="998.94"/>
    <s v="RETURNING"/>
    <n v="0"/>
    <s v="Good"/>
  </r>
  <r>
    <s v="TXN-10011 "/>
    <s v="CUST-5658 "/>
    <x v="10"/>
    <s v="East "/>
    <s v="Electronics "/>
    <n v="428.04"/>
    <n v="4"/>
    <n v="0.05"/>
    <d v="2025-02-27T00:00:00"/>
    <n v="1712.16"/>
    <n v="1626.5519999999999"/>
    <s v="RETURNING"/>
    <n v="85.608000000000004"/>
    <s v="Good"/>
  </r>
  <r>
    <s v="TXN-10012 "/>
    <s v="CUST-3931 "/>
    <x v="11"/>
    <s v="North "/>
    <s v="Software "/>
    <n v="43.81"/>
    <n v="5"/>
    <n v="0.05"/>
    <d v="2025-02-26T00:00:00"/>
    <n v="219.05"/>
    <n v="208.0975"/>
    <s v="RETURNING"/>
    <n v="10.952500000000001"/>
    <s v="Good"/>
  </r>
  <r>
    <s v="TXN-10013 "/>
    <s v="CUST-4354 "/>
    <x v="12"/>
    <s v="North "/>
    <s v="Furniture "/>
    <n v="267.14999999999998"/>
    <n v="11"/>
    <n v="0.1"/>
    <d v="2025-02-23T00:00:00"/>
    <n v="2938.6499999999996"/>
    <n v="2644.7849999999999"/>
    <s v="NEW"/>
    <n v="293.86499999999995"/>
    <s v="Good"/>
  </r>
  <r>
    <s v="TXN-10014 "/>
    <s v="CUST-6134 "/>
    <x v="13"/>
    <s v="East "/>
    <s v="Furniture "/>
    <n v="75.39"/>
    <n v="8"/>
    <n v="0.15"/>
    <d v="2025-09-04T00:00:00"/>
    <n v="603.12"/>
    <n v="512.65200000000004"/>
    <s v="NEW"/>
    <n v="90.468000000000004"/>
    <s v="Good"/>
  </r>
  <r>
    <s v="TXN-10015 "/>
    <s v="CUST-3931 "/>
    <x v="14"/>
    <s v="West "/>
    <s v="Furniture "/>
    <n v="239.13"/>
    <n v="2"/>
    <n v="0.2"/>
    <d v="2025-02-26T00:00:00"/>
    <n v="478.26"/>
    <n v="382.608"/>
    <s v="NEW"/>
    <n v="95.652000000000001"/>
    <s v="Good"/>
  </r>
  <r>
    <s v="TXN-10016 "/>
    <s v="CUST-7019 "/>
    <x v="15"/>
    <s v="North "/>
    <s v="Hardware "/>
    <n v="165.11"/>
    <n v="10"/>
    <n v="0.2"/>
    <d v="2025-06-17T00:00:00"/>
    <n v="1651.1000000000001"/>
    <n v="1320.88"/>
    <s v="NEW"/>
    <n v="330.22"/>
    <s v="Good"/>
  </r>
  <r>
    <s v="TXN-10017 "/>
    <s v="CUST-9666 "/>
    <x v="16"/>
    <s v="North "/>
    <s v="Hardware "/>
    <n v="215.44"/>
    <n v="10"/>
    <n v="0.25"/>
    <d v="2025-08-03T00:00:00"/>
    <n v="2154.4"/>
    <n v="1615.8000000000002"/>
    <s v="NEW"/>
    <n v="538.6"/>
    <s v="Good"/>
  </r>
  <r>
    <s v="TXN-10018 "/>
    <s v="CUST-2528 "/>
    <x v="17"/>
    <s v="South "/>
    <s v="Hardware "/>
    <n v="154.88999999999999"/>
    <n v="10"/>
    <n v="0"/>
    <d v="2025-02-23T00:00:00"/>
    <n v="1548.8999999999999"/>
    <n v="1548.8999999999999"/>
    <s v="NEW"/>
    <n v="0"/>
    <s v="Good"/>
  </r>
  <r>
    <s v="TXN-10019 "/>
    <s v="CUST-1775 "/>
    <x v="18"/>
    <s v="East "/>
    <s v="Furniture "/>
    <n v="415.58"/>
    <n v="13"/>
    <n v="0"/>
    <d v="2025-05-04T00:00:00"/>
    <n v="5402.54"/>
    <n v="5402.54"/>
    <s v="RETURNING"/>
    <n v="0"/>
    <s v="Good"/>
  </r>
  <r>
    <s v="TXN-10020 "/>
    <s v="CUST-3747 "/>
    <x v="19"/>
    <s v="West "/>
    <s v="Electronics "/>
    <n v="274.82"/>
    <n v="4"/>
    <n v="0.3"/>
    <d v="2025-03-04T00:00:00"/>
    <n v="1099.28"/>
    <n v="769.49599999999998"/>
    <s v="RETURNING"/>
    <n v="329.78399999999999"/>
    <s v="High Risk"/>
  </r>
  <r>
    <s v="TXN-10021 "/>
    <s v="CUST-2678 "/>
    <x v="20"/>
    <s v="South "/>
    <s v="Office Supplies "/>
    <n v="345.58"/>
    <n v="14"/>
    <n v="0.05"/>
    <d v="2025-04-05T00:00:00"/>
    <n v="4838.12"/>
    <n v="4596.2139999999999"/>
    <s v="RETURNING"/>
    <n v="241.90600000000001"/>
    <s v="Good"/>
  </r>
  <r>
    <s v="TXN-10022 "/>
    <s v="CUST-4763 "/>
    <x v="21"/>
    <s v="West "/>
    <s v="Furniture "/>
    <n v="325.31"/>
    <n v="7"/>
    <n v="0.25"/>
    <d v="2025-08-12T00:00:00"/>
    <n v="2277.17"/>
    <n v="1707.8775000000001"/>
    <s v="NEW"/>
    <n v="569.29250000000002"/>
    <s v="Good"/>
  </r>
  <r>
    <s v="TXN-10023 "/>
    <s v="CUST-5973 "/>
    <x v="22"/>
    <s v="South "/>
    <s v="Office Supplies "/>
    <n v="169.05"/>
    <n v="3"/>
    <n v="0.3"/>
    <d v="2025-07-10T00:00:00"/>
    <n v="507.15000000000003"/>
    <n v="355.005"/>
    <s v="NEW"/>
    <n v="152.14500000000001"/>
    <s v="Good"/>
  </r>
  <r>
    <s v="TXN-10024 "/>
    <s v="CUST-3511 "/>
    <x v="23"/>
    <s v="North "/>
    <s v="Software "/>
    <n v="23.73"/>
    <n v="9"/>
    <n v="0"/>
    <d v="2025-05-13T00:00:00"/>
    <n v="213.57"/>
    <n v="213.57"/>
    <s v="NEW"/>
    <n v="0"/>
    <s v="Good"/>
  </r>
  <r>
    <s v="TXN-10025 "/>
    <s v="CUST-6539 "/>
    <x v="24"/>
    <s v="South "/>
    <s v="Software "/>
    <n v="116.45"/>
    <n v="13"/>
    <n v="0.15"/>
    <d v="2025-05-21T00:00:00"/>
    <n v="1513.8500000000001"/>
    <n v="1286.7725"/>
    <s v="NEW"/>
    <n v="227.07750000000001"/>
    <s v="Good"/>
  </r>
  <r>
    <s v="TXN-10026 "/>
    <s v="CUST-3047 "/>
    <x v="25"/>
    <s v="East "/>
    <s v="Electronics "/>
    <n v="231.82"/>
    <n v="4"/>
    <n v="0.3"/>
    <d v="2025-07-05T00:00:00"/>
    <n v="927.28"/>
    <n v="649.09599999999989"/>
    <s v="RETURNING"/>
    <n v="278.18399999999997"/>
    <s v="High Risk"/>
  </r>
  <r>
    <s v="TXN-10027 "/>
    <s v="CUST-2528 "/>
    <x v="26"/>
    <s v="West "/>
    <s v="Electronics "/>
    <n v="260.54000000000002"/>
    <n v="10"/>
    <n v="0"/>
    <d v="2025-02-23T00:00:00"/>
    <n v="2605.4"/>
    <n v="2605.4"/>
    <s v="RETURNING"/>
    <n v="0"/>
    <s v="Good"/>
  </r>
  <r>
    <s v="TXN-10028 "/>
    <s v="CUST-6056 "/>
    <x v="27"/>
    <s v="South "/>
    <s v="Office Supplies "/>
    <n v="121.29"/>
    <n v="11"/>
    <n v="0.2"/>
    <d v="2025-10-17T00:00:00"/>
    <n v="1334.19"/>
    <n v="1067.3520000000001"/>
    <s v="NEW"/>
    <n v="266.83800000000002"/>
    <s v="Good"/>
  </r>
  <r>
    <s v="TXN-10029 "/>
    <s v="CUST-7197 "/>
    <x v="28"/>
    <s v="North "/>
    <s v="Hardware "/>
    <n v="81.489999999999995"/>
    <n v="7"/>
    <n v="0.15"/>
    <d v="2025-05-06T00:00:00"/>
    <n v="570.42999999999995"/>
    <n v="484.86549999999994"/>
    <s v="RETURNING"/>
    <n v="85.564499999999995"/>
    <s v="Good"/>
  </r>
  <r>
    <s v="TXN-10030 "/>
    <s v="CUST-4104 "/>
    <x v="29"/>
    <s v="North "/>
    <s v="Furniture "/>
    <n v="243.16"/>
    <n v="8"/>
    <n v="0.2"/>
    <d v="2025-08-10T00:00:00"/>
    <n v="1945.28"/>
    <n v="1556.2240000000002"/>
    <s v="NEW"/>
    <n v="389.05600000000004"/>
    <s v="Good"/>
  </r>
  <r>
    <s v="TXN-10031 "/>
    <s v="CUST-4890 "/>
    <x v="3"/>
    <s v="South "/>
    <s v="Office Supplies "/>
    <n v="265.56"/>
    <n v="11"/>
    <n v="0.15"/>
    <d v="2025-09-21T00:00:00"/>
    <n v="2921.16"/>
    <n v="2482.9859999999999"/>
    <s v="RETURNING"/>
    <n v="438.17399999999998"/>
    <s v="Good"/>
  </r>
  <r>
    <s v="TXN-10032 "/>
    <s v="CUST-3693 "/>
    <x v="30"/>
    <s v="South "/>
    <s v="Furniture "/>
    <n v="372.07"/>
    <n v="2"/>
    <n v="0.3"/>
    <d v="2025-04-03T00:00:00"/>
    <n v="744.14"/>
    <n v="520.89799999999991"/>
    <s v="RETURNING"/>
    <n v="223.24199999999999"/>
    <s v="High Risk"/>
  </r>
  <r>
    <s v="TXN-10033 "/>
    <s v="CUST-3976 "/>
    <x v="31"/>
    <s v="East "/>
    <s v="Hardware "/>
    <n v="349.73"/>
    <n v="6"/>
    <n v="0.05"/>
    <d v="2025-08-18T00:00:00"/>
    <n v="2098.38"/>
    <n v="1993.461"/>
    <s v="RETURNING"/>
    <n v="104.91900000000001"/>
    <s v="Good"/>
  </r>
  <r>
    <s v="TXN-10034 "/>
    <s v="CUST-3790 "/>
    <x v="32"/>
    <s v="West "/>
    <s v="Electronics "/>
    <n v="335.27"/>
    <n v="12"/>
    <n v="0.3"/>
    <d v="2025-06-28T00:00:00"/>
    <n v="4023.24"/>
    <n v="2816.2679999999996"/>
    <s v="RETURNING"/>
    <n v="1206.972"/>
    <s v="High Risk"/>
  </r>
  <r>
    <s v="TXN-10035 "/>
    <s v="CUST-8270 "/>
    <x v="33"/>
    <s v="West "/>
    <s v="Hardware "/>
    <n v="235.16"/>
    <n v="4"/>
    <n v="0.2"/>
    <d v="2025-05-31T00:00:00"/>
    <n v="940.64"/>
    <n v="752.51200000000006"/>
    <s v="RETURNING"/>
    <n v="188.12800000000001"/>
    <s v="Good"/>
  </r>
  <r>
    <s v="TXN-10036 "/>
    <s v="CUST-4436 "/>
    <x v="34"/>
    <s v="South "/>
    <s v="Office Supplies "/>
    <n v="253.64"/>
    <n v="10"/>
    <n v="0.15"/>
    <d v="2025-01-14T00:00:00"/>
    <n v="2536.3999999999996"/>
    <n v="2155.9399999999996"/>
    <s v="NEW"/>
    <n v="380.45999999999992"/>
    <s v="Good"/>
  </r>
  <r>
    <s v="TXN-10037 "/>
    <s v="CUST-7949 "/>
    <x v="35"/>
    <s v="West "/>
    <s v="Electronics "/>
    <n v="75.39"/>
    <n v="9"/>
    <n v="0"/>
    <d v="2025-01-13T00:00:00"/>
    <n v="678.51"/>
    <n v="678.51"/>
    <s v="RETURNING"/>
    <n v="0"/>
    <s v="Good"/>
  </r>
  <r>
    <s v="TXN-10038 "/>
    <s v="CUST-8022 "/>
    <x v="36"/>
    <s v="West "/>
    <s v="Furniture "/>
    <n v="166.76"/>
    <n v="1"/>
    <n v="0.2"/>
    <d v="2025-01-12T00:00:00"/>
    <n v="166.76"/>
    <n v="133.40799999999999"/>
    <s v="RETURNING"/>
    <n v="33.351999999999997"/>
    <s v="Good"/>
  </r>
  <r>
    <s v="TXN-10039 "/>
    <s v="CUST-1098 "/>
    <x v="37"/>
    <s v="North "/>
    <s v="Furniture "/>
    <n v="423.18"/>
    <n v="12"/>
    <n v="0.1"/>
    <d v="2025-05-28T00:00:00"/>
    <n v="5078.16"/>
    <n v="4570.3440000000001"/>
    <s v="NEW"/>
    <n v="507.81600000000003"/>
    <s v="Good"/>
  </r>
  <r>
    <s v="TXN-10040 "/>
    <s v="CUST-4556 "/>
    <x v="38"/>
    <s v="West "/>
    <s v="Software "/>
    <n v="381.2"/>
    <n v="8"/>
    <n v="0.1"/>
    <d v="2025-04-11T00:00:00"/>
    <n v="3049.6"/>
    <n v="2744.64"/>
    <s v="RETURNING"/>
    <n v="304.95999999999998"/>
    <s v="Good"/>
  </r>
  <r>
    <s v="TXN-10041 "/>
    <s v="CUST-7197 "/>
    <x v="39"/>
    <s v="South "/>
    <s v="Furniture "/>
    <n v="86.46"/>
    <n v="5"/>
    <n v="0.1"/>
    <d v="2025-05-06T00:00:00"/>
    <n v="432.29999999999995"/>
    <n v="389.07"/>
    <s v="NEW"/>
    <n v="43.23"/>
    <s v="Good"/>
  </r>
  <r>
    <s v="TXN-10042 "/>
    <s v="CUST-3062 "/>
    <x v="40"/>
    <s v="West "/>
    <s v="Electronics "/>
    <n v="396.58"/>
    <n v="9"/>
    <n v="0.05"/>
    <d v="2025-03-17T00:00:00"/>
    <n v="3569.22"/>
    <n v="3390.7589999999996"/>
    <s v="RETURNING"/>
    <n v="178.46100000000001"/>
    <s v="Good"/>
  </r>
  <r>
    <s v="TXN-10043 "/>
    <s v="CUST-6442 "/>
    <x v="41"/>
    <s v="West "/>
    <s v="Furniture "/>
    <n v="286.48"/>
    <n v="1"/>
    <n v="0.3"/>
    <d v="2025-01-05T00:00:00"/>
    <n v="286.48"/>
    <n v="200.536"/>
    <s v="NEW"/>
    <n v="85.944000000000003"/>
    <s v="Good"/>
  </r>
  <r>
    <s v="TXN-10044 "/>
    <s v="CUST-2016 "/>
    <x v="41"/>
    <s v="North "/>
    <s v="Electronics "/>
    <n v="406.31"/>
    <n v="7"/>
    <n v="0.05"/>
    <d v="2025-01-01T00:00:00"/>
    <n v="2844.17"/>
    <n v="2701.9614999999999"/>
    <s v="RETURNING"/>
    <n v="142.20850000000002"/>
    <s v="Good"/>
  </r>
  <r>
    <s v="TXN-10045 "/>
    <s v="CUST-2028 "/>
    <x v="42"/>
    <s v="East "/>
    <s v="Furniture "/>
    <n v="202.71"/>
    <n v="3"/>
    <n v="0.3"/>
    <d v="2025-09-07T00:00:00"/>
    <n v="608.13"/>
    <n v="425.69099999999997"/>
    <s v="NEW"/>
    <n v="182.43899999999999"/>
    <s v="High Risk"/>
  </r>
  <r>
    <s v="TXN-10046 "/>
    <s v="CUST-5218 "/>
    <x v="43"/>
    <s v="West "/>
    <s v="Software "/>
    <n v="360.4"/>
    <n v="13"/>
    <n v="0"/>
    <d v="2025-04-09T00:00:00"/>
    <n v="4685.2"/>
    <n v="4685.2"/>
    <s v="NEW"/>
    <n v="0"/>
    <s v="Good"/>
  </r>
  <r>
    <s v="TXN-10047 "/>
    <s v="CUST-6539 "/>
    <x v="15"/>
    <s v="North "/>
    <s v="Electronics "/>
    <n v="150.6"/>
    <n v="5"/>
    <n v="0.1"/>
    <d v="2025-05-21T00:00:00"/>
    <n v="753"/>
    <n v="677.7"/>
    <s v="RETURNING"/>
    <n v="75.3"/>
    <s v="Good"/>
  </r>
  <r>
    <s v="TXN-10048 "/>
    <s v="CUST-4327 "/>
    <x v="44"/>
    <s v="South "/>
    <s v="Office Supplies "/>
    <n v="346.67"/>
    <n v="11"/>
    <n v="0.05"/>
    <d v="2025-03-23T00:00:00"/>
    <n v="3813.3700000000003"/>
    <n v="3622.7015000000001"/>
    <s v="NEW"/>
    <n v="190.66850000000002"/>
    <s v="Good"/>
  </r>
  <r>
    <s v="TXN-10049 "/>
    <s v="CUST-3790 "/>
    <x v="45"/>
    <s v="East "/>
    <s v="Software "/>
    <n v="213.8"/>
    <n v="4"/>
    <n v="0.3"/>
    <d v="2025-06-28T00:00:00"/>
    <n v="855.2"/>
    <n v="598.64"/>
    <s v="RETURNING"/>
    <n v="256.56"/>
    <s v="High Risk"/>
  </r>
  <r>
    <s v="TXN-10050 "/>
    <s v="CUST-7585 "/>
    <x v="46"/>
    <s v="North "/>
    <s v="Software "/>
    <n v="329.18"/>
    <n v="2"/>
    <n v="0.1"/>
    <d v="2025-07-02T00:00:00"/>
    <n v="658.36"/>
    <n v="592.524"/>
    <s v="RETURNING"/>
    <n v="65.835999999999999"/>
    <s v="Good"/>
  </r>
  <r>
    <s v="TXN-10051 "/>
    <s v="CUST-4104 "/>
    <x v="47"/>
    <s v="West "/>
    <s v="Software "/>
    <n v="326.54000000000002"/>
    <n v="11"/>
    <n v="0.2"/>
    <d v="2025-08-10T00:00:00"/>
    <n v="3591.94"/>
    <n v="2873.5520000000001"/>
    <s v="RETURNING"/>
    <n v="718.38800000000003"/>
    <s v="Good"/>
  </r>
  <r>
    <s v="TXN-10052 "/>
    <s v="CUST-4748 "/>
    <x v="48"/>
    <s v="South "/>
    <s v="Office Supplies "/>
    <n v="427.07"/>
    <n v="12"/>
    <n v="0.05"/>
    <d v="2025-04-09T00:00:00"/>
    <n v="5124.84"/>
    <n v="4868.598"/>
    <s v="NEW"/>
    <n v="256.24200000000002"/>
    <s v="Good"/>
  </r>
  <r>
    <s v="TXN-10053 "/>
    <s v="CUST-7776 "/>
    <x v="49"/>
    <s v="South "/>
    <s v="Electronics "/>
    <n v="126.37"/>
    <n v="8"/>
    <n v="0.15"/>
    <d v="2025-08-05T00:00:00"/>
    <n v="1010.96"/>
    <n v="859.31600000000003"/>
    <s v="NEW"/>
    <n v="151.64400000000001"/>
    <s v="Good"/>
  </r>
  <r>
    <s v="TXN-10054 "/>
    <s v="CUST-6249 "/>
    <x v="50"/>
    <s v="West "/>
    <s v="Software "/>
    <n v="358.69"/>
    <n v="5"/>
    <n v="0.3"/>
    <d v="2025-03-17T00:00:00"/>
    <n v="1793.45"/>
    <n v="1255.415"/>
    <s v="RETURNING"/>
    <n v="538.03499999999997"/>
    <s v="High Risk"/>
  </r>
  <r>
    <s v="TXN-10055 "/>
    <s v="CUST-1502 "/>
    <x v="51"/>
    <s v="East "/>
    <s v="Office Supplies "/>
    <n v="44.98"/>
    <n v="3"/>
    <n v="0.2"/>
    <d v="2025-04-06T00:00:00"/>
    <n v="134.94"/>
    <n v="107.952"/>
    <s v="RETURNING"/>
    <n v="26.988"/>
    <s v="Good"/>
  </r>
  <r>
    <s v="TXN-10056 "/>
    <s v="CUST-6442 "/>
    <x v="52"/>
    <s v="East "/>
    <s v="Electronics "/>
    <n v="64.260000000000005"/>
    <n v="5"/>
    <n v="0.05"/>
    <d v="2025-01-05T00:00:00"/>
    <n v="321.3"/>
    <n v="305.23500000000001"/>
    <s v="RETURNING"/>
    <n v="16.065000000000001"/>
    <s v="Good"/>
  </r>
  <r>
    <s v="TXN-10057 "/>
    <s v="CUST-1206 "/>
    <x v="4"/>
    <s v="East "/>
    <s v="Electronics "/>
    <n v="159.47999999999999"/>
    <n v="6"/>
    <n v="0.3"/>
    <d v="2025-10-07T00:00:00"/>
    <n v="956.87999999999988"/>
    <n v="669.81599999999992"/>
    <s v="NEW"/>
    <n v="287.06399999999996"/>
    <s v="High Risk"/>
  </r>
  <r>
    <s v="TXN-10058 "/>
    <s v="CUST-1663 "/>
    <x v="53"/>
    <s v="North "/>
    <s v="Electronics "/>
    <n v="104.43"/>
    <n v="9"/>
    <n v="0.2"/>
    <d v="2025-02-05T00:00:00"/>
    <n v="939.87000000000012"/>
    <n v="751.89600000000019"/>
    <s v="NEW"/>
    <n v="187.97400000000005"/>
    <s v="Good"/>
  </r>
  <r>
    <s v="TXN-10059 "/>
    <s v="CUST-4763 "/>
    <x v="54"/>
    <s v="East "/>
    <s v="Software "/>
    <n v="248.77"/>
    <n v="11"/>
    <n v="0.25"/>
    <d v="2025-08-12T00:00:00"/>
    <n v="2736.4700000000003"/>
    <n v="2052.3525"/>
    <s v="NEW"/>
    <n v="684.11750000000006"/>
    <s v="Good"/>
  </r>
  <r>
    <s v="TXN-10060 "/>
    <s v="CUST-9155 "/>
    <x v="55"/>
    <s v="East "/>
    <s v="Electronics "/>
    <n v="270.37"/>
    <n v="11"/>
    <n v="0.15"/>
    <d v="2025-05-02T00:00:00"/>
    <n v="2974.07"/>
    <n v="2527.9594999999999"/>
    <s v="NEW"/>
    <n v="446.1105"/>
    <s v="Good"/>
  </r>
  <r>
    <s v="TXN-10061 "/>
    <s v="CUST-5496 "/>
    <x v="56"/>
    <s v="West "/>
    <s v="Electronics "/>
    <n v="231.79"/>
    <n v="6"/>
    <n v="0.2"/>
    <d v="2025-09-09T00:00:00"/>
    <n v="1390.74"/>
    <n v="1112.5920000000001"/>
    <s v="NEW"/>
    <n v="278.14800000000002"/>
    <s v="Good"/>
  </r>
  <r>
    <s v="TXN-10062 "/>
    <s v="CUST-8280 "/>
    <x v="57"/>
    <s v="East "/>
    <s v="Furniture "/>
    <n v="290.02999999999997"/>
    <n v="12"/>
    <n v="0.05"/>
    <d v="2025-10-13T00:00:00"/>
    <n v="3480.3599999999997"/>
    <n v="3306.3419999999996"/>
    <s v="NEW"/>
    <n v="174.018"/>
    <s v="Good"/>
  </r>
  <r>
    <s v="TXN-10063 "/>
    <s v="CUST-4152 "/>
    <x v="58"/>
    <s v="West "/>
    <s v="Electronics "/>
    <n v="79.67"/>
    <n v="6"/>
    <n v="0.25"/>
    <d v="2025-06-07T00:00:00"/>
    <n v="478.02"/>
    <n v="358.51499999999999"/>
    <s v="NEW"/>
    <n v="119.505"/>
    <s v="Good"/>
  </r>
  <r>
    <s v="TXN-10064 "/>
    <s v="CUST-2016 "/>
    <x v="59"/>
    <s v="North "/>
    <s v="Electronics "/>
    <n v="149.82"/>
    <n v="14"/>
    <n v="0.3"/>
    <d v="2025-01-01T00:00:00"/>
    <n v="2097.48"/>
    <n v="1468.2359999999999"/>
    <s v="RETURNING"/>
    <n v="629.24400000000003"/>
    <s v="Good"/>
  </r>
  <r>
    <s v="TXN-10065 "/>
    <s v="CUST-9120 "/>
    <x v="60"/>
    <s v="South "/>
    <s v="Hardware "/>
    <n v="286.86"/>
    <n v="13"/>
    <n v="0.25"/>
    <d v="2025-07-13T00:00:00"/>
    <n v="3729.1800000000003"/>
    <n v="2796.8850000000002"/>
    <s v="NEW"/>
    <n v="932.29500000000007"/>
    <s v="Good"/>
  </r>
  <r>
    <s v="TXN-10066 "/>
    <s v="CUST-9901 "/>
    <x v="61"/>
    <s v="South "/>
    <s v="Electronics "/>
    <n v="352.35"/>
    <n v="2"/>
    <n v="0.05"/>
    <d v="2025-06-13T00:00:00"/>
    <n v="704.7"/>
    <n v="669.46500000000003"/>
    <s v="RETURNING"/>
    <n v="35.235000000000007"/>
    <s v="Good"/>
  </r>
  <r>
    <s v="TXN-10067 "/>
    <s v="CUST-8721 "/>
    <x v="62"/>
    <s v="South "/>
    <s v="Furniture "/>
    <n v="82.53"/>
    <n v="1"/>
    <n v="0.2"/>
    <d v="2025-06-09T00:00:00"/>
    <n v="82.53"/>
    <n v="66.024000000000001"/>
    <s v="NEW"/>
    <n v="16.506"/>
    <s v="Good"/>
  </r>
  <r>
    <s v="TXN-10068 "/>
    <s v="CUST-4843 "/>
    <x v="63"/>
    <s v="West "/>
    <s v="Office Supplies "/>
    <n v="132.77000000000001"/>
    <n v="14"/>
    <n v="0.05"/>
    <d v="2025-02-27T00:00:00"/>
    <n v="1858.7800000000002"/>
    <n v="1765.8410000000001"/>
    <s v="RETURNING"/>
    <n v="92.939000000000021"/>
    <s v="Good"/>
  </r>
  <r>
    <s v="TXN-10069 "/>
    <s v="CUST-7736 "/>
    <x v="64"/>
    <s v="West "/>
    <s v="Office Supplies "/>
    <n v="392.14"/>
    <n v="8"/>
    <n v="0"/>
    <d v="2025-04-04T00:00:00"/>
    <n v="3137.12"/>
    <n v="3137.12"/>
    <s v="RETURNING"/>
    <n v="0"/>
    <s v="Good"/>
  </r>
  <r>
    <s v="TXN-10070 "/>
    <s v="CUST-5911 "/>
    <x v="51"/>
    <s v="East "/>
    <s v="Furniture "/>
    <n v="234.9"/>
    <n v="8"/>
    <n v="0.25"/>
    <d v="2025-05-29T00:00:00"/>
    <n v="1879.2"/>
    <n v="1409.4"/>
    <s v="NEW"/>
    <n v="469.8"/>
    <s v="Good"/>
  </r>
  <r>
    <s v="TXN-10071 "/>
    <s v="CUST-7015 "/>
    <x v="65"/>
    <s v="East "/>
    <s v="Furniture "/>
    <n v="298.94"/>
    <n v="8"/>
    <n v="0.05"/>
    <d v="2025-08-01T00:00:00"/>
    <n v="2391.52"/>
    <n v="2271.944"/>
    <s v="RETURNING"/>
    <n v="119.57600000000001"/>
    <s v="Good"/>
  </r>
  <r>
    <s v="TXN-10072 "/>
    <s v="CUST-9319 "/>
    <x v="66"/>
    <s v="South "/>
    <s v="Furniture "/>
    <n v="433.75"/>
    <n v="4"/>
    <n v="0.2"/>
    <d v="2025-07-16T00:00:00"/>
    <n v="1735"/>
    <n v="1388"/>
    <s v="NEW"/>
    <n v="347"/>
    <s v="Good"/>
  </r>
  <r>
    <s v="TXN-10073 "/>
    <s v="CUST-3327 "/>
    <x v="67"/>
    <s v="East "/>
    <s v="Office Supplies "/>
    <n v="20.66"/>
    <n v="7"/>
    <n v="0"/>
    <d v="2025-08-08T00:00:00"/>
    <n v="144.62"/>
    <n v="144.62"/>
    <s v="NEW"/>
    <n v="0"/>
    <s v="Good"/>
  </r>
  <r>
    <s v="TXN-10074 "/>
    <s v="CUST-8994 "/>
    <x v="68"/>
    <s v="West "/>
    <s v="Hardware "/>
    <n v="396.25"/>
    <n v="13"/>
    <n v="0.15"/>
    <d v="2025-06-01T00:00:00"/>
    <n v="5151.25"/>
    <n v="4378.5625"/>
    <s v="RETURNING"/>
    <n v="772.6875"/>
    <s v="Good"/>
  </r>
  <r>
    <s v="TXN-10075 "/>
    <s v="CUST-6463 "/>
    <x v="65"/>
    <s v="East "/>
    <s v="Hardware "/>
    <n v="163.69"/>
    <n v="10"/>
    <n v="0.3"/>
    <d v="2025-07-04T00:00:00"/>
    <n v="1636.9"/>
    <n v="1145.83"/>
    <s v="RETURNING"/>
    <n v="491.07"/>
    <s v="High Risk"/>
  </r>
  <r>
    <s v="TXN-10076 "/>
    <s v="CUST-8098 "/>
    <x v="42"/>
    <s v="West "/>
    <s v="Software "/>
    <n v="286.5"/>
    <n v="6"/>
    <n v="0.25"/>
    <d v="2025-08-09T00:00:00"/>
    <n v="1719"/>
    <n v="1289.25"/>
    <s v="RETURNING"/>
    <n v="429.75"/>
    <s v="Good"/>
  </r>
  <r>
    <s v="TXN-10077 "/>
    <s v="CUST-2154 "/>
    <x v="69"/>
    <s v="East "/>
    <s v="Software "/>
    <n v="438.93"/>
    <n v="12"/>
    <n v="0"/>
    <d v="2025-07-21T00:00:00"/>
    <n v="5267.16"/>
    <n v="5267.16"/>
    <s v="RETURNING"/>
    <n v="0"/>
    <s v="Good"/>
  </r>
  <r>
    <s v="TXN-10078 "/>
    <s v="CUST-9680 "/>
    <x v="69"/>
    <s v="East "/>
    <s v="Electronics "/>
    <n v="225.88"/>
    <n v="1"/>
    <n v="0.25"/>
    <d v="2025-09-10T00:00:00"/>
    <n v="225.88"/>
    <n v="169.41"/>
    <s v="RETURNING"/>
    <n v="56.47"/>
    <s v="Good"/>
  </r>
  <r>
    <s v="TXN-10079 "/>
    <s v="CUST-6578 "/>
    <x v="70"/>
    <s v="North "/>
    <s v="Electronics "/>
    <n v="127.18"/>
    <n v="6"/>
    <n v="0.25"/>
    <d v="2025-02-08T00:00:00"/>
    <n v="763.08"/>
    <n v="572.31000000000006"/>
    <s v="RETURNING"/>
    <n v="190.77"/>
    <s v="Good"/>
  </r>
  <r>
    <s v="TXN-10080 "/>
    <s v="CUST-6592 "/>
    <x v="9"/>
    <s v="South "/>
    <s v="Office Supplies "/>
    <n v="406.75"/>
    <n v="2"/>
    <n v="0.3"/>
    <d v="2025-02-27T00:00:00"/>
    <n v="813.5"/>
    <n v="569.44999999999993"/>
    <s v="NEW"/>
    <n v="244.04999999999998"/>
    <s v="High Risk"/>
  </r>
  <r>
    <s v="TXN-10081 "/>
    <s v="CUST-6854 "/>
    <x v="71"/>
    <s v="South "/>
    <s v="Hardware "/>
    <n v="369.55"/>
    <n v="9"/>
    <n v="0.25"/>
    <d v="2025-10-13T00:00:00"/>
    <n v="3325.9500000000003"/>
    <n v="2494.4625000000001"/>
    <s v="NEW"/>
    <n v="831.48750000000007"/>
    <s v="Good"/>
  </r>
  <r>
    <s v="TXN-10082 "/>
    <s v="CUST-2528 "/>
    <x v="26"/>
    <s v="North "/>
    <s v="Office Supplies "/>
    <n v="328.29"/>
    <n v="5"/>
    <n v="0.05"/>
    <d v="2025-02-23T00:00:00"/>
    <n v="1641.45"/>
    <n v="1559.3775000000001"/>
    <s v="RETURNING"/>
    <n v="82.072500000000005"/>
    <s v="Good"/>
  </r>
  <r>
    <s v="TXN-10083 "/>
    <s v="CUST-1189 "/>
    <x v="72"/>
    <s v="South "/>
    <s v="Furniture "/>
    <n v="274.87"/>
    <n v="12"/>
    <n v="0.2"/>
    <d v="2025-07-09T00:00:00"/>
    <n v="3298.44"/>
    <n v="2638.7520000000004"/>
    <s v="RETURNING"/>
    <n v="659.6880000000001"/>
    <s v="Good"/>
  </r>
  <r>
    <s v="TXN-10084 "/>
    <s v="CUST-2707 "/>
    <x v="3"/>
    <s v="North "/>
    <s v="Software "/>
    <n v="350.35"/>
    <n v="14"/>
    <n v="0.05"/>
    <d v="2025-10-11T00:00:00"/>
    <n v="4904.9000000000005"/>
    <n v="4659.6550000000007"/>
    <s v="RETURNING"/>
    <n v="245.24500000000003"/>
    <s v="Good"/>
  </r>
  <r>
    <s v="TXN-10085 "/>
    <s v="CUST-1659 "/>
    <x v="58"/>
    <s v="West "/>
    <s v="Furniture "/>
    <n v="121.73"/>
    <n v="5"/>
    <n v="0.1"/>
    <d v="2025-06-12T00:00:00"/>
    <n v="608.65"/>
    <n v="547.78499999999997"/>
    <s v="NEW"/>
    <n v="60.865000000000002"/>
    <s v="Good"/>
  </r>
  <r>
    <s v="TXN-10086 "/>
    <s v="CUST-6442 "/>
    <x v="73"/>
    <s v="West "/>
    <s v="Electronics "/>
    <n v="328.87"/>
    <n v="8"/>
    <n v="0.1"/>
    <d v="2025-01-05T00:00:00"/>
    <n v="2630.96"/>
    <n v="2367.864"/>
    <s v="NEW"/>
    <n v="263.096"/>
    <s v="Good"/>
  </r>
  <r>
    <s v="TXN-10087 "/>
    <s v="CUST-9996 "/>
    <x v="41"/>
    <s v="West "/>
    <s v="Hardware "/>
    <n v="225.43"/>
    <n v="10"/>
    <n v="0.15"/>
    <d v="2025-01-10T00:00:00"/>
    <n v="2254.3000000000002"/>
    <n v="1916.1550000000002"/>
    <s v="NEW"/>
    <n v="338.14500000000004"/>
    <s v="Good"/>
  </r>
  <r>
    <s v="TXN-10088 "/>
    <s v="CUST-5973 "/>
    <x v="74"/>
    <s v="East "/>
    <s v="Software "/>
    <n v="37.369999999999997"/>
    <n v="14"/>
    <n v="0.1"/>
    <d v="2025-07-10T00:00:00"/>
    <n v="523.17999999999995"/>
    <n v="470.86199999999997"/>
    <s v="NEW"/>
    <n v="52.317999999999998"/>
    <s v="Good"/>
  </r>
  <r>
    <s v="TXN-10089 "/>
    <s v="CUST-2843 "/>
    <x v="11"/>
    <s v="North "/>
    <s v="Electronics "/>
    <n v="47.68"/>
    <n v="1"/>
    <n v="0"/>
    <d v="2025-03-15T00:00:00"/>
    <n v="47.68"/>
    <n v="47.68"/>
    <s v="RETURNING"/>
    <n v="0"/>
    <s v="Good"/>
  </r>
  <r>
    <s v="TXN-10090 "/>
    <s v="CUST-9815 "/>
    <x v="75"/>
    <s v="West "/>
    <s v="Office Supplies "/>
    <n v="214.96"/>
    <n v="3"/>
    <n v="0.1"/>
    <d v="2025-08-05T00:00:00"/>
    <n v="644.88"/>
    <n v="580.39200000000005"/>
    <s v="RETURNING"/>
    <n v="64.488"/>
    <s v="Good"/>
  </r>
  <r>
    <s v="TXN-10091 "/>
    <s v="CUST-7197 "/>
    <x v="76"/>
    <s v="East "/>
    <s v="Office Supplies "/>
    <n v="59.85"/>
    <n v="5"/>
    <n v="0.15"/>
    <d v="2025-05-06T00:00:00"/>
    <n v="299.25"/>
    <n v="254.36249999999998"/>
    <s v="NEW"/>
    <n v="44.887499999999996"/>
    <s v="Good"/>
  </r>
  <r>
    <s v="TXN-10092 "/>
    <s v="CUST-7420 "/>
    <x v="3"/>
    <s v="East "/>
    <s v="Electronics "/>
    <n v="95.53"/>
    <n v="14"/>
    <n v="0.1"/>
    <d v="2025-09-21T00:00:00"/>
    <n v="1337.42"/>
    <n v="1203.6780000000001"/>
    <s v="RETURNING"/>
    <n v="133.74200000000002"/>
    <s v="Good"/>
  </r>
  <r>
    <s v="TXN-10093 "/>
    <s v="CUST-5893 "/>
    <x v="63"/>
    <s v="North "/>
    <s v="Hardware "/>
    <n v="316.14"/>
    <n v="6"/>
    <n v="0"/>
    <d v="2025-05-24T00:00:00"/>
    <n v="1896.84"/>
    <n v="1896.84"/>
    <s v="RETURNING"/>
    <n v="0"/>
    <s v="Good"/>
  </r>
  <r>
    <s v="TXN-10094 "/>
    <s v="CUST-6892 "/>
    <x v="77"/>
    <s v="East "/>
    <s v="Office Supplies "/>
    <n v="37.44"/>
    <n v="10"/>
    <n v="0.3"/>
    <d v="2025-07-23T00:00:00"/>
    <n v="374.4"/>
    <n v="262.08"/>
    <s v="RETURNING"/>
    <n v="112.32"/>
    <s v="High Risk"/>
  </r>
  <r>
    <s v="TXN-10095 "/>
    <s v="CUST-2184 "/>
    <x v="78"/>
    <s v="East "/>
    <s v="Electronics "/>
    <n v="93.55"/>
    <n v="5"/>
    <n v="0.25"/>
    <d v="2025-09-10T00:00:00"/>
    <n v="467.75"/>
    <n v="350.8125"/>
    <s v="RETURNING"/>
    <n v="116.9375"/>
    <s v="Good"/>
  </r>
  <r>
    <s v="TXN-10096 "/>
    <s v="CUST-2218 "/>
    <x v="16"/>
    <s v="East "/>
    <s v="Hardware "/>
    <n v="333"/>
    <n v="3"/>
    <n v="0.05"/>
    <d v="2025-07-22T00:00:00"/>
    <n v="999"/>
    <n v="949.05"/>
    <s v="NEW"/>
    <n v="49.95"/>
    <s v="Good"/>
  </r>
  <r>
    <s v="TXN-10097 "/>
    <s v="CUST-1262 "/>
    <x v="79"/>
    <s v="East "/>
    <s v="Software "/>
    <n v="382.38"/>
    <n v="2"/>
    <n v="0.1"/>
    <d v="2025-05-16T00:00:00"/>
    <n v="764.76"/>
    <n v="688.28399999999999"/>
    <s v="RETURNING"/>
    <n v="76.475999999999999"/>
    <s v="Good"/>
  </r>
  <r>
    <s v="TXN-10098 "/>
    <s v="CUST-4840 "/>
    <x v="29"/>
    <s v="East "/>
    <s v="Furniture "/>
    <n v="258.89"/>
    <n v="13"/>
    <n v="0.05"/>
    <d v="2025-08-11T00:00:00"/>
    <n v="3365.5699999999997"/>
    <n v="3197.2914999999994"/>
    <s v="NEW"/>
    <n v="168.27850000000001"/>
    <s v="Good"/>
  </r>
  <r>
    <s v="TXN-10099 "/>
    <s v="CUST-7668 "/>
    <x v="31"/>
    <s v="West "/>
    <s v="Office Supplies "/>
    <n v="330.27"/>
    <n v="12"/>
    <n v="0.3"/>
    <d v="2025-08-03T00:00:00"/>
    <n v="3963.24"/>
    <n v="2774.2679999999996"/>
    <s v="RETURNING"/>
    <n v="1188.972"/>
    <s v="High Risk"/>
  </r>
  <r>
    <s v="TXN-10100 "/>
    <s v="CUST-6311 "/>
    <x v="80"/>
    <s v="West "/>
    <s v="Hardware "/>
    <n v="302.82"/>
    <n v="13"/>
    <n v="0.05"/>
    <d v="2025-06-22T00:00:00"/>
    <n v="3936.66"/>
    <n v="3739.8269999999998"/>
    <s v="RETURNING"/>
    <n v="196.833"/>
    <s v="Good"/>
  </r>
  <r>
    <s v="TXN-10101 "/>
    <s v="CUST-8280 "/>
    <x v="3"/>
    <s v="South "/>
    <s v="Software "/>
    <n v="116.34"/>
    <n v="7"/>
    <n v="0.1"/>
    <d v="2025-10-13T00:00:00"/>
    <n v="814.38"/>
    <n v="732.94200000000001"/>
    <s v="RETURNING"/>
    <n v="81.438000000000002"/>
    <s v="Good"/>
  </r>
  <r>
    <s v="TXN-10102 "/>
    <s v="CUST-7528 "/>
    <x v="3"/>
    <s v="East "/>
    <s v="Hardware "/>
    <n v="245.09"/>
    <n v="3"/>
    <n v="0.1"/>
    <d v="2025-08-21T00:00:00"/>
    <n v="735.27"/>
    <n v="661.74300000000005"/>
    <s v="RETURNING"/>
    <n v="73.527000000000001"/>
    <s v="Good"/>
  </r>
  <r>
    <s v="TXN-10103 "/>
    <s v="CUST-9792 "/>
    <x v="48"/>
    <s v="North "/>
    <s v="Electronics "/>
    <n v="189.84"/>
    <n v="5"/>
    <n v="0.15"/>
    <d v="2025-04-18T00:00:00"/>
    <n v="949.2"/>
    <n v="806.82"/>
    <s v="NEW"/>
    <n v="142.38"/>
    <s v="Good"/>
  </r>
  <r>
    <s v="TXN-10104 "/>
    <s v="CUST-8777 "/>
    <x v="81"/>
    <s v="West "/>
    <s v="Electronics "/>
    <n v="349.2"/>
    <n v="9"/>
    <n v="0.3"/>
    <d v="2025-02-08T00:00:00"/>
    <n v="3142.7999999999997"/>
    <n v="2199.9599999999996"/>
    <s v="RETURNING"/>
    <n v="942.83999999999992"/>
    <s v="High Risk"/>
  </r>
  <r>
    <s v="TXN-10105 "/>
    <s v="CUST-7439 "/>
    <x v="82"/>
    <s v="East "/>
    <s v="Hardware "/>
    <n v="169.26"/>
    <n v="14"/>
    <n v="0.05"/>
    <d v="2025-10-17T00:00:00"/>
    <n v="2369.64"/>
    <n v="2251.1579999999999"/>
    <s v="NEW"/>
    <n v="118.482"/>
    <s v="Good"/>
  </r>
  <r>
    <s v="TXN-10106 "/>
    <s v="CUST-6530 "/>
    <x v="83"/>
    <s v="North "/>
    <s v="Electronics "/>
    <n v="411"/>
    <n v="9"/>
    <n v="0.3"/>
    <d v="2025-08-15T00:00:00"/>
    <n v="3699"/>
    <n v="2589.2999999999997"/>
    <s v="NEW"/>
    <n v="1109.7"/>
    <s v="High Risk"/>
  </r>
  <r>
    <s v="TXN-10107 "/>
    <s v="CUST-2306 "/>
    <x v="84"/>
    <s v="North "/>
    <s v="Hardware "/>
    <n v="127.66"/>
    <n v="12"/>
    <n v="0.25"/>
    <d v="2025-03-16T00:00:00"/>
    <n v="1531.92"/>
    <n v="1148.94"/>
    <s v="RETURNING"/>
    <n v="382.98"/>
    <s v="Good"/>
  </r>
  <r>
    <s v="TXN-10108 "/>
    <s v="CUST-1569 "/>
    <x v="85"/>
    <s v="South "/>
    <s v="Furniture "/>
    <n v="408.12"/>
    <n v="2"/>
    <n v="0"/>
    <d v="2025-09-08T00:00:00"/>
    <n v="816.24"/>
    <n v="816.24"/>
    <s v="RETURNING"/>
    <n v="0"/>
    <s v="Good"/>
  </r>
  <r>
    <s v="TXN-10109 "/>
    <s v="CUST-3911 "/>
    <x v="86"/>
    <s v="East "/>
    <s v="Software "/>
    <n v="379.45"/>
    <n v="6"/>
    <n v="0.2"/>
    <d v="2025-03-17T00:00:00"/>
    <n v="2276.6999999999998"/>
    <n v="1821.36"/>
    <s v="RETURNING"/>
    <n v="455.34"/>
    <s v="Good"/>
  </r>
  <r>
    <s v="TXN-10110 "/>
    <s v="CUST-9352 "/>
    <x v="87"/>
    <s v="South "/>
    <s v="Furniture "/>
    <n v="91.79"/>
    <n v="10"/>
    <n v="0"/>
    <d v="2025-02-13T00:00:00"/>
    <n v="917.90000000000009"/>
    <n v="917.90000000000009"/>
    <s v="RETURNING"/>
    <n v="0"/>
    <s v="Good"/>
  </r>
  <r>
    <s v="TXN-10111 "/>
    <s v="CUST-3869 "/>
    <x v="88"/>
    <s v="West "/>
    <s v="Hardware "/>
    <n v="40.159999999999997"/>
    <n v="7"/>
    <n v="0"/>
    <d v="2025-05-14T00:00:00"/>
    <n v="281.12"/>
    <n v="281.12"/>
    <s v="RETURNING"/>
    <n v="0"/>
    <s v="Good"/>
  </r>
  <r>
    <s v="TXN-10112 "/>
    <s v="CUST-6578 "/>
    <x v="89"/>
    <s v="South "/>
    <s v="Electronics "/>
    <n v="90.64"/>
    <n v="10"/>
    <n v="0.1"/>
    <d v="2025-02-08T00:00:00"/>
    <n v="906.4"/>
    <n v="815.76"/>
    <s v="RETURNING"/>
    <n v="90.64"/>
    <s v="Good"/>
  </r>
  <r>
    <s v="TXN-10113 "/>
    <s v="CUST-1202 "/>
    <x v="90"/>
    <s v="North "/>
    <s v="Furniture "/>
    <n v="369.89"/>
    <n v="6"/>
    <n v="0.2"/>
    <d v="2025-03-10T00:00:00"/>
    <n v="2219.34"/>
    <n v="1775.4720000000002"/>
    <s v="NEW"/>
    <n v="443.86800000000005"/>
    <s v="Good"/>
  </r>
  <r>
    <s v="TXN-10114 "/>
    <s v="CUST-9755 "/>
    <x v="91"/>
    <s v="North "/>
    <s v="Electronics "/>
    <n v="404.29"/>
    <n v="5"/>
    <n v="0.05"/>
    <d v="2025-09-25T00:00:00"/>
    <n v="2021.45"/>
    <n v="1920.3775000000001"/>
    <s v="RETURNING"/>
    <n v="101.07250000000001"/>
    <s v="Good"/>
  </r>
  <r>
    <s v="TXN-10115 "/>
    <s v="CUST-8996 "/>
    <x v="3"/>
    <s v="East "/>
    <s v="Furniture "/>
    <n v="71.34"/>
    <n v="9"/>
    <n v="0.1"/>
    <d v="2025-09-29T00:00:00"/>
    <n v="642.06000000000006"/>
    <n v="577.85400000000004"/>
    <s v="RETURNING"/>
    <n v="64.206000000000003"/>
    <s v="Good"/>
  </r>
  <r>
    <s v="TXN-10116 "/>
    <s v="CUST-2154 "/>
    <x v="92"/>
    <s v="North "/>
    <s v="Electronics "/>
    <n v="254.62"/>
    <n v="11"/>
    <n v="0.05"/>
    <d v="2025-07-21T00:00:00"/>
    <n v="2800.82"/>
    <n v="2660.779"/>
    <s v="RETURNING"/>
    <n v="140.04100000000003"/>
    <s v="Good"/>
  </r>
  <r>
    <s v="TXN-10117 "/>
    <s v="CUST-8574 "/>
    <x v="35"/>
    <s v="West "/>
    <s v="Furniture "/>
    <n v="329.69"/>
    <n v="10"/>
    <n v="0.05"/>
    <d v="2025-02-13T00:00:00"/>
    <n v="3296.9"/>
    <n v="3132.0549999999998"/>
    <s v="NEW"/>
    <n v="164.84500000000003"/>
    <s v="Good"/>
  </r>
  <r>
    <s v="TXN-10118 "/>
    <s v="CUST-9838 "/>
    <x v="35"/>
    <s v="North "/>
    <s v="Software "/>
    <n v="48.12"/>
    <n v="1"/>
    <n v="0.05"/>
    <d v="2025-02-22T00:00:00"/>
    <n v="48.12"/>
    <n v="45.713999999999999"/>
    <s v="NEW"/>
    <n v="2.4060000000000001"/>
    <s v="Good"/>
  </r>
  <r>
    <s v="TXN-10119 "/>
    <s v="CUST-9433 "/>
    <x v="10"/>
    <s v="South "/>
    <s v="Hardware "/>
    <n v="409.33"/>
    <n v="3"/>
    <n v="0.05"/>
    <d v="2025-01-05T00:00:00"/>
    <n v="1227.99"/>
    <n v="1166.5905"/>
    <s v="RETURNING"/>
    <n v="61.399500000000003"/>
    <s v="Good"/>
  </r>
  <r>
    <s v="TXN-10120 "/>
    <s v="CUST-9433 "/>
    <x v="93"/>
    <s v="North "/>
    <s v="Electronics "/>
    <n v="397.2"/>
    <n v="3"/>
    <n v="0.15"/>
    <d v="2025-01-05T00:00:00"/>
    <n v="1191.5999999999999"/>
    <n v="1012.8599999999999"/>
    <s v="RETURNING"/>
    <n v="178.73999999999998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0F81F-60CF-45F8-BB81-8C080112D26B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gion" colHeaderCaption="Category">
  <location ref="A4:B20" firstHeaderRow="1" firstDataRow="1" firstDataCol="1"/>
  <pivotFields count="14">
    <pivotField showAll="0"/>
    <pivotField showAll="0"/>
    <pivotField numFmtId="14" showAll="0">
      <items count="95">
        <item x="34"/>
        <item x="73"/>
        <item x="41"/>
        <item x="93"/>
        <item x="36"/>
        <item x="53"/>
        <item x="17"/>
        <item x="35"/>
        <item x="70"/>
        <item x="87"/>
        <item x="81"/>
        <item x="14"/>
        <item x="9"/>
        <item x="44"/>
        <item x="12"/>
        <item x="52"/>
        <item x="26"/>
        <item x="90"/>
        <item x="10"/>
        <item x="48"/>
        <item x="40"/>
        <item x="43"/>
        <item x="76"/>
        <item x="39"/>
        <item x="11"/>
        <item x="24"/>
        <item x="23"/>
        <item x="55"/>
        <item x="19"/>
        <item x="89"/>
        <item x="51"/>
        <item x="58"/>
        <item x="18"/>
        <item x="37"/>
        <item x="15"/>
        <item x="62"/>
        <item x="63"/>
        <item x="22"/>
        <item x="33"/>
        <item x="50"/>
        <item x="61"/>
        <item x="74"/>
        <item x="79"/>
        <item x="66"/>
        <item x="20"/>
        <item x="60"/>
        <item x="84"/>
        <item x="46"/>
        <item x="38"/>
        <item x="16"/>
        <item x="49"/>
        <item x="29"/>
        <item x="21"/>
        <item x="5"/>
        <item x="8"/>
        <item x="67"/>
        <item x="6"/>
        <item x="32"/>
        <item x="68"/>
        <item x="25"/>
        <item x="83"/>
        <item x="54"/>
        <item x="80"/>
        <item x="28"/>
        <item x="1"/>
        <item x="77"/>
        <item x="13"/>
        <item x="45"/>
        <item x="56"/>
        <item x="30"/>
        <item x="59"/>
        <item x="42"/>
        <item x="47"/>
        <item x="64"/>
        <item x="31"/>
        <item x="75"/>
        <item x="88"/>
        <item x="65"/>
        <item x="71"/>
        <item x="7"/>
        <item x="86"/>
        <item x="4"/>
        <item x="69"/>
        <item x="92"/>
        <item x="72"/>
        <item x="82"/>
        <item x="57"/>
        <item x="78"/>
        <item x="27"/>
        <item x="91"/>
        <item x="85"/>
        <item x="2"/>
        <item x="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 measureFilter="1" sortType="descending">
      <items count="6">
        <item x="4"/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numFmtId="2" showAll="0"/>
    <pivotField numFmtId="2" showAll="0"/>
    <pivotField numFmtId="14" showAll="0"/>
    <pivotField numFmtId="44" showAll="0"/>
    <pivotField dataField="1" numFmtId="44"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4"/>
  </rowFields>
  <rowItems count="16">
    <i>
      <x/>
    </i>
    <i r="1">
      <x v="1"/>
    </i>
    <i r="1">
      <x v="4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 r="1">
      <x v="1"/>
    </i>
    <i r="1">
      <x v="2"/>
    </i>
    <i>
      <x v="3"/>
    </i>
    <i r="1">
      <x/>
    </i>
    <i r="1">
      <x v="4"/>
    </i>
    <i r="1">
      <x v="2"/>
    </i>
  </rowItems>
  <colItems count="1">
    <i/>
  </colItems>
  <dataFields count="1">
    <dataField name="Net Revenue" fld="10" baseField="0" baseItem="0" numFmtId="44"/>
  </dataFields>
  <formats count="28">
    <format dxfId="137">
      <pivotArea type="all" dataOnly="0" outline="0" fieldPosition="0"/>
    </format>
    <format dxfId="136">
      <pivotArea collapsedLevelsAreSubtotals="1" fieldPosition="0">
        <references count="1">
          <reference field="3" count="1">
            <x v="0"/>
          </reference>
        </references>
      </pivotArea>
    </format>
    <format dxfId="135">
      <pivotArea dataOnly="0" labelOnly="1" fieldPosition="0">
        <references count="1">
          <reference field="3" count="1">
            <x v="0"/>
          </reference>
        </references>
      </pivotArea>
    </format>
    <format dxfId="134">
      <pivotArea collapsedLevelsAreSubtotals="1" fieldPosition="0">
        <references count="1">
          <reference field="3" count="1">
            <x v="1"/>
          </reference>
        </references>
      </pivotArea>
    </format>
    <format dxfId="133">
      <pivotArea dataOnly="0" labelOnly="1" fieldPosition="0">
        <references count="1">
          <reference field="3" count="1">
            <x v="1"/>
          </reference>
        </references>
      </pivotArea>
    </format>
    <format dxfId="132">
      <pivotArea dataOnly="0" fieldPosition="0">
        <references count="1">
          <reference field="3" count="1">
            <x v="2"/>
          </reference>
        </references>
      </pivotArea>
    </format>
    <format dxfId="131">
      <pivotArea collapsedLevelsAreSubtotals="1" fieldPosition="0">
        <references count="1">
          <reference field="3" count="1">
            <x v="3"/>
          </reference>
        </references>
      </pivotArea>
    </format>
    <format dxfId="130">
      <pivotArea dataOnly="0" labelOnly="1" fieldPosition="0">
        <references count="1">
          <reference field="3" count="1">
            <x v="3"/>
          </reference>
        </references>
      </pivotArea>
    </format>
    <format dxfId="129">
      <pivotArea dataOnly="0" fieldPosition="0">
        <references count="1">
          <reference field="3" count="1">
            <x v="2"/>
          </reference>
        </references>
      </pivotArea>
    </format>
    <format dxfId="128">
      <pivotArea dataOnly="0" fieldPosition="0">
        <references count="1">
          <reference field="3" count="1">
            <x v="3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3" type="button" dataOnly="0" labelOnly="1" outline="0" axis="axisRow" fieldPosition="0"/>
    </format>
    <format dxfId="124">
      <pivotArea dataOnly="0" labelOnly="1" fieldPosition="0">
        <references count="1">
          <reference field="3" count="0"/>
        </references>
      </pivotArea>
    </format>
    <format dxfId="123">
      <pivotArea dataOnly="0" labelOnly="1" fieldPosition="0">
        <references count="2">
          <reference field="3" count="1" selected="0">
            <x v="0"/>
          </reference>
          <reference field="4" count="3">
            <x v="1"/>
            <x v="2"/>
            <x v="4"/>
          </reference>
        </references>
      </pivotArea>
    </format>
    <format dxfId="122">
      <pivotArea dataOnly="0" labelOnly="1" fieldPosition="0">
        <references count="2">
          <reference field="3" count="1" selected="0">
            <x v="1"/>
          </reference>
          <reference field="4" count="3">
            <x v="0"/>
            <x v="1"/>
            <x v="2"/>
          </reference>
        </references>
      </pivotArea>
    </format>
    <format dxfId="121">
      <pivotArea dataOnly="0" labelOnly="1" fieldPosition="0">
        <references count="2">
          <reference field="3" count="1" selected="0">
            <x v="2"/>
          </reference>
          <reference field="4" count="3">
            <x v="1"/>
            <x v="2"/>
            <x v="3"/>
          </reference>
        </references>
      </pivotArea>
    </format>
    <format dxfId="120">
      <pivotArea dataOnly="0" labelOnly="1" fieldPosition="0">
        <references count="2">
          <reference field="3" count="1" selected="0">
            <x v="3"/>
          </reference>
          <reference field="4" count="3">
            <x v="0"/>
            <x v="2"/>
            <x v="4"/>
          </reference>
        </references>
      </pivotArea>
    </format>
    <format dxfId="119">
      <pivotArea dataOnly="0" labelOnly="1" outline="0" axis="axisValues" fieldPosition="0"/>
    </format>
    <format dxfId="118">
      <pivotArea collapsedLevelsAreSubtotals="1" fieldPosition="0">
        <references count="1">
          <reference field="3" count="1">
            <x v="0"/>
          </reference>
        </references>
      </pivotArea>
    </format>
    <format dxfId="117">
      <pivotArea dataOnly="0" labelOnly="1" fieldPosition="0">
        <references count="1">
          <reference field="3" count="1">
            <x v="0"/>
          </reference>
        </references>
      </pivotArea>
    </format>
    <format dxfId="116">
      <pivotArea collapsedLevelsAreSubtotals="1" fieldPosition="0">
        <references count="1">
          <reference field="3" count="1">
            <x v="1"/>
          </reference>
        </references>
      </pivotArea>
    </format>
    <format dxfId="115">
      <pivotArea dataOnly="0" labelOnly="1" fieldPosition="0">
        <references count="1">
          <reference field="3" count="1">
            <x v="1"/>
          </reference>
        </references>
      </pivotArea>
    </format>
    <format dxfId="114">
      <pivotArea collapsedLevelsAreSubtotals="1" fieldPosition="0">
        <references count="1">
          <reference field="3" count="1">
            <x v="2"/>
          </reference>
        </references>
      </pivotArea>
    </format>
    <format dxfId="113">
      <pivotArea dataOnly="0" labelOnly="1" fieldPosition="0">
        <references count="1">
          <reference field="3" count="1">
            <x v="2"/>
          </reference>
        </references>
      </pivotArea>
    </format>
    <format dxfId="112">
      <pivotArea collapsedLevelsAreSubtotals="1" fieldPosition="0">
        <references count="1">
          <reference field="3" count="1">
            <x v="3"/>
          </reference>
        </references>
      </pivotArea>
    </format>
    <format dxfId="111">
      <pivotArea dataOnly="0" labelOnly="1" fieldPosition="0">
        <references count="1">
          <reference field="3" count="1">
            <x v="3"/>
          </reference>
        </references>
      </pivotArea>
    </format>
    <format dxfId="110">
      <pivotArea dataOnly="0" fieldPosition="0">
        <references count="2">
          <reference field="3" count="0"/>
          <reference field="4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</formats>
  <pivotTableStyleInfo name="PivotStyleLight16" showRowHeaders="1" showColHeaders="1" showRowStripes="0" showColStripes="0" showLastColumn="1"/>
  <filters count="1">
    <filter fld="4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7F721-4A0D-4E10-805F-FFDF3E686AAB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27:H41" firstHeaderRow="0" firstDataRow="1" firstDataCol="1"/>
  <pivotFields count="16">
    <pivotField showAll="0"/>
    <pivotField axis="axisRow" showAll="0" measureFilter="1" sortType="descending">
      <items count="101">
        <item x="34"/>
        <item x="70"/>
        <item x="94"/>
        <item x="47"/>
        <item x="81"/>
        <item x="46"/>
        <item x="90"/>
        <item x="72"/>
        <item x="48"/>
        <item x="17"/>
        <item x="38"/>
        <item x="39"/>
        <item x="65"/>
        <item x="79"/>
        <item x="80"/>
        <item x="89"/>
        <item x="16"/>
        <item x="19"/>
        <item x="71"/>
        <item x="74"/>
        <item x="24"/>
        <item x="36"/>
        <item x="61"/>
        <item x="22"/>
        <item x="28"/>
        <item x="18"/>
        <item x="30"/>
        <item x="93"/>
        <item x="91"/>
        <item x="11"/>
        <item x="9"/>
        <item x="29"/>
        <item x="3"/>
        <item x="5"/>
        <item x="52"/>
        <item x="0"/>
        <item x="41"/>
        <item x="12"/>
        <item x="31"/>
        <item x="35"/>
        <item x="43"/>
        <item x="20"/>
        <item x="8"/>
        <item x="56"/>
        <item x="27"/>
        <item x="40"/>
        <item x="50"/>
        <item x="10"/>
        <item x="77"/>
        <item x="58"/>
        <item x="21"/>
        <item x="25"/>
        <item x="1"/>
        <item x="13"/>
        <item x="45"/>
        <item x="83"/>
        <item x="37"/>
        <item x="63"/>
        <item x="88"/>
        <item x="23"/>
        <item x="67"/>
        <item x="68"/>
        <item x="69"/>
        <item x="78"/>
        <item x="7"/>
        <item x="59"/>
        <item x="14"/>
        <item x="26"/>
        <item x="2"/>
        <item x="76"/>
        <item x="87"/>
        <item x="84"/>
        <item x="42"/>
        <item x="82"/>
        <item x="57"/>
        <item x="44"/>
        <item x="32"/>
        <item x="33"/>
        <item x="64"/>
        <item x="4"/>
        <item x="51"/>
        <item x="97"/>
        <item x="6"/>
        <item x="55"/>
        <item x="86"/>
        <item x="62"/>
        <item x="96"/>
        <item x="53"/>
        <item x="49"/>
        <item x="60"/>
        <item x="92"/>
        <item x="99"/>
        <item x="15"/>
        <item x="66"/>
        <item x="95"/>
        <item x="85"/>
        <item x="75"/>
        <item x="98"/>
        <item x="54"/>
        <item x="7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4" showAll="0">
      <items count="95">
        <item x="34"/>
        <item x="73"/>
        <item x="41"/>
        <item x="93"/>
        <item x="36"/>
        <item x="53"/>
        <item x="17"/>
        <item x="35"/>
        <item x="70"/>
        <item x="87"/>
        <item x="81"/>
        <item x="14"/>
        <item x="9"/>
        <item x="44"/>
        <item x="12"/>
        <item x="52"/>
        <item x="26"/>
        <item x="90"/>
        <item x="10"/>
        <item x="48"/>
        <item x="40"/>
        <item x="43"/>
        <item x="76"/>
        <item x="39"/>
        <item x="11"/>
        <item x="24"/>
        <item x="23"/>
        <item x="55"/>
        <item x="19"/>
        <item x="89"/>
        <item x="51"/>
        <item x="58"/>
        <item x="18"/>
        <item x="37"/>
        <item x="15"/>
        <item x="62"/>
        <item x="63"/>
        <item x="22"/>
        <item x="33"/>
        <item x="50"/>
        <item x="61"/>
        <item x="74"/>
        <item x="79"/>
        <item x="66"/>
        <item x="20"/>
        <item x="60"/>
        <item x="84"/>
        <item x="46"/>
        <item x="38"/>
        <item x="16"/>
        <item x="49"/>
        <item x="29"/>
        <item x="21"/>
        <item x="5"/>
        <item x="8"/>
        <item x="67"/>
        <item x="6"/>
        <item x="32"/>
        <item x="68"/>
        <item x="25"/>
        <item x="83"/>
        <item x="54"/>
        <item x="80"/>
        <item x="28"/>
        <item x="1"/>
        <item x="77"/>
        <item x="13"/>
        <item x="45"/>
        <item x="56"/>
        <item x="30"/>
        <item x="59"/>
        <item x="42"/>
        <item x="47"/>
        <item x="64"/>
        <item x="31"/>
        <item x="75"/>
        <item x="88"/>
        <item x="65"/>
        <item x="71"/>
        <item x="7"/>
        <item x="86"/>
        <item x="4"/>
        <item x="69"/>
        <item x="92"/>
        <item x="72"/>
        <item x="82"/>
        <item x="57"/>
        <item x="78"/>
        <item x="27"/>
        <item x="91"/>
        <item x="0"/>
        <item x="85"/>
        <item x="2"/>
        <item x="3"/>
        <item t="default"/>
      </items>
    </pivotField>
    <pivotField showAll="0"/>
    <pivotField showAll="0"/>
    <pivotField numFmtId="44" showAll="0"/>
    <pivotField numFmtId="2" showAll="0"/>
    <pivotField numFmtId="2" showAll="0"/>
    <pivotField numFmtId="14" showAll="0"/>
    <pivotField dataField="1" numFmtId="44" showAll="0"/>
    <pivotField numFmtId="44" showAll="0"/>
    <pivotField showAll="0"/>
    <pivotField dataField="1"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dragToRow="0" dragToCol="0" dragToPage="0" showAll="0" defaultSubtotal="0"/>
  </pivotFields>
  <rowFields count="1">
    <field x="1"/>
  </rowFields>
  <rowItems count="14">
    <i>
      <x v="57"/>
    </i>
    <i>
      <x v="68"/>
    </i>
    <i>
      <x v="61"/>
    </i>
    <i>
      <x v="11"/>
    </i>
    <i>
      <x v="84"/>
    </i>
    <i>
      <x v="20"/>
    </i>
    <i>
      <x v="58"/>
    </i>
    <i>
      <x v="24"/>
    </i>
    <i>
      <x v="63"/>
    </i>
    <i>
      <x v="25"/>
    </i>
    <i>
      <x v="73"/>
    </i>
    <i>
      <x v="26"/>
    </i>
    <i>
      <x v="3"/>
    </i>
    <i>
      <x v="5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 Amount " fld="12" baseField="0" baseItem="0" numFmtId="44"/>
    <dataField name="Sum of  Gross Revenue" fld="9" baseField="0" baseItem="0" numFmtId="44"/>
    <dataField name="Sum of Discount Rate" fld="15" baseField="0" baseItem="0" numFmtId="9"/>
  </dataFields>
  <formats count="2">
    <format dxfId="1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8">
      <pivotArea dataOnly="0" fieldPosition="0">
        <references count="1">
          <reference field="1" count="14">
            <x v="3"/>
            <x v="11"/>
            <x v="20"/>
            <x v="24"/>
            <x v="25"/>
            <x v="26"/>
            <x v="54"/>
            <x v="57"/>
            <x v="58"/>
            <x v="61"/>
            <x v="63"/>
            <x v="68"/>
            <x v="73"/>
            <x v="8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valueGreaterThan" evalOrder="-1" id="5" iMeasureFld="2">
      <autoFilter ref="A1">
        <filterColumn colId="0">
          <customFilters>
            <customFilter operator="greaterThan" val="0.2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C9E7B-4DA2-45D8-8FE4-1AA664782A70}" name="PivotTable2" cacheId="2" applyNumberFormats="0" applyBorderFormats="0" applyFontFormats="0" applyPatternFormats="0" applyAlignmentFormats="0" applyWidthHeightFormats="1" dataCaption="Values" errorCaption="N/A" showError="1" missingCaption="N/A" updatedVersion="8" minRefreshableVersion="3" useAutoFormatting="1" rowGrandTotals="0" itemPrintTitles="1" createdVersion="8" indent="0" outline="1" outlineData="1" multipleFieldFilters="0" rowHeaderCaption="Month">
  <location ref="F4:I16" firstHeaderRow="0" firstDataRow="1" firstDataCol="1"/>
  <pivotFields count="17">
    <pivotField showAll="0"/>
    <pivotField showAll="0"/>
    <pivotField axis="axisRow" numFmtId="14" showAll="0">
      <items count="95">
        <item x="34"/>
        <item x="73"/>
        <item x="41"/>
        <item x="93"/>
        <item x="36"/>
        <item x="53"/>
        <item x="17"/>
        <item x="35"/>
        <item x="70"/>
        <item x="87"/>
        <item x="81"/>
        <item x="14"/>
        <item x="9"/>
        <item x="44"/>
        <item x="12"/>
        <item x="52"/>
        <item x="26"/>
        <item x="90"/>
        <item x="10"/>
        <item x="48"/>
        <item x="40"/>
        <item x="43"/>
        <item x="76"/>
        <item x="39"/>
        <item x="11"/>
        <item x="24"/>
        <item x="23"/>
        <item x="55"/>
        <item x="19"/>
        <item x="89"/>
        <item x="51"/>
        <item x="58"/>
        <item x="18"/>
        <item x="37"/>
        <item x="15"/>
        <item x="62"/>
        <item x="63"/>
        <item x="22"/>
        <item x="33"/>
        <item x="50"/>
        <item x="61"/>
        <item x="74"/>
        <item x="79"/>
        <item x="66"/>
        <item x="20"/>
        <item x="60"/>
        <item x="84"/>
        <item x="46"/>
        <item x="38"/>
        <item x="16"/>
        <item x="49"/>
        <item x="29"/>
        <item x="21"/>
        <item x="5"/>
        <item x="8"/>
        <item x="67"/>
        <item x="6"/>
        <item x="32"/>
        <item x="68"/>
        <item x="25"/>
        <item x="83"/>
        <item x="54"/>
        <item x="80"/>
        <item x="28"/>
        <item x="1"/>
        <item x="77"/>
        <item x="13"/>
        <item x="45"/>
        <item x="56"/>
        <item x="30"/>
        <item x="59"/>
        <item x="42"/>
        <item x="47"/>
        <item x="64"/>
        <item x="31"/>
        <item x="75"/>
        <item x="88"/>
        <item x="65"/>
        <item x="71"/>
        <item x="7"/>
        <item x="86"/>
        <item x="4"/>
        <item x="69"/>
        <item x="92"/>
        <item x="72"/>
        <item x="82"/>
        <item x="57"/>
        <item x="78"/>
        <item x="27"/>
        <item x="91"/>
        <item x="85"/>
        <item x="2"/>
        <item x="3"/>
        <item x="0"/>
        <item t="default"/>
      </items>
    </pivotField>
    <pivotField showAll="0"/>
    <pivotField showAll="0"/>
    <pivotField numFmtId="44" showAll="0"/>
    <pivotField numFmtId="2" showAll="0"/>
    <pivotField numFmtId="2" showAll="0"/>
    <pivotField numFmtId="14" showAll="0"/>
    <pivotField numFmtId="44" showAll="0"/>
    <pivotField dataField="1" numFmtId="44" showAll="0"/>
    <pivotField showAll="0"/>
    <pivotField numFmtId="44"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2">
    <field x="15"/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3">
    <i>
      <x/>
    </i>
    <i i="1">
      <x v="1"/>
    </i>
    <i i="2">
      <x v="2"/>
    </i>
  </colItems>
  <dataFields count="3">
    <dataField name=" Net Revenue" fld="10" baseField="0" baseItem="0" numFmtId="44"/>
    <dataField name="MoM Growth%" fld="10" showDataAs="percentDiff" baseField="15" baseItem="1048828" numFmtId="164"/>
    <dataField name="Sum of Discount Rate" fld="16" baseField="0" baseItem="0" numFmtId="44"/>
  </dataFields>
  <formats count="27">
    <format dxfId="166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165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164">
      <pivotArea collapsedLevelsAreSubtotals="1" fieldPosition="0">
        <references count="2">
          <reference field="4294967294" count="1" selected="0">
            <x v="1"/>
          </reference>
          <reference field="15" count="1">
            <x v="1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1"/>
          </reference>
          <reference field="15" count="1">
            <x v="2"/>
          </reference>
        </references>
      </pivotArea>
    </format>
    <format dxfId="162">
      <pivotArea collapsedLevelsAreSubtotals="1" fieldPosition="0">
        <references count="2">
          <reference field="4294967294" count="1" selected="0">
            <x v="1"/>
          </reference>
          <reference field="15" count="1">
            <x v="3"/>
          </reference>
        </references>
      </pivotArea>
    </format>
    <format dxfId="161">
      <pivotArea collapsedLevelsAreSubtotals="1" fieldPosition="0">
        <references count="2">
          <reference field="4294967294" count="1" selected="0">
            <x v="1"/>
          </reference>
          <reference field="15" count="1">
            <x v="4"/>
          </reference>
        </references>
      </pivotArea>
    </format>
    <format dxfId="160">
      <pivotArea collapsedLevelsAreSubtotals="1" fieldPosition="0">
        <references count="2">
          <reference field="4294967294" count="1" selected="0">
            <x v="1"/>
          </reference>
          <reference field="15" count="1">
            <x v="5"/>
          </reference>
        </references>
      </pivotArea>
    </format>
    <format dxfId="159">
      <pivotArea collapsedLevelsAreSubtotals="1" fieldPosition="0">
        <references count="2">
          <reference field="4294967294" count="1" selected="0">
            <x v="1"/>
          </reference>
          <reference field="15" count="1">
            <x v="6"/>
          </reference>
        </references>
      </pivotArea>
    </format>
    <format dxfId="158">
      <pivotArea collapsedLevelsAreSubtotals="1" fieldPosition="0">
        <references count="2">
          <reference field="4294967294" count="1" selected="0">
            <x v="1"/>
          </reference>
          <reference field="15" count="1">
            <x v="7"/>
          </reference>
        </references>
      </pivotArea>
    </format>
    <format dxfId="157">
      <pivotArea collapsedLevelsAreSubtotals="1" fieldPosition="0">
        <references count="2">
          <reference field="4294967294" count="1" selected="0">
            <x v="1"/>
          </reference>
          <reference field="15" count="1">
            <x v="8"/>
          </reference>
        </references>
      </pivotArea>
    </format>
    <format dxfId="156">
      <pivotArea collapsedLevelsAreSubtotals="1" fieldPosition="0">
        <references count="2">
          <reference field="4294967294" count="1" selected="0">
            <x v="1"/>
          </reference>
          <reference field="15" count="1">
            <x v="9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1"/>
          </reference>
          <reference field="15" count="1">
            <x v="10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1"/>
          </reference>
          <reference field="15" count="1">
            <x v="11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1"/>
          </reference>
          <reference field="15" count="1">
            <x v="12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0"/>
          </reference>
          <reference field="15" count="1">
            <x v="4"/>
          </reference>
        </references>
      </pivotArea>
    </format>
    <format dxfId="151">
      <pivotArea dataOnly="0" labelOnly="1" fieldPosition="0">
        <references count="1">
          <reference field="15" count="1">
            <x v="4"/>
          </reference>
        </references>
      </pivotArea>
    </format>
    <format dxfId="150">
      <pivotArea collapsedLevelsAreSubtotals="1" fieldPosition="0">
        <references count="2">
          <reference field="4294967294" count="1" selected="0">
            <x v="0"/>
          </reference>
          <reference field="15" count="1">
            <x v="5"/>
          </reference>
        </references>
      </pivotArea>
    </format>
    <format dxfId="149">
      <pivotArea dataOnly="0" labelOnly="1" fieldPosition="0">
        <references count="1">
          <reference field="15" count="1">
            <x v="5"/>
          </reference>
        </references>
      </pivotArea>
    </format>
    <format dxfId="148">
      <pivotArea collapsedLevelsAreSubtotals="1" fieldPosition="0">
        <references count="2">
          <reference field="4294967294" count="1" selected="0">
            <x v="0"/>
          </reference>
          <reference field="15" count="1">
            <x v="7"/>
          </reference>
        </references>
      </pivotArea>
    </format>
    <format dxfId="147">
      <pivotArea dataOnly="0" labelOnly="1" fieldPosition="0">
        <references count="1">
          <reference field="15" count="1">
            <x v="7"/>
          </reference>
        </references>
      </pivotArea>
    </format>
    <format dxfId="146">
      <pivotArea collapsedLevelsAreSubtotals="1" fieldPosition="0">
        <references count="2">
          <reference field="4294967294" count="1" selected="0">
            <x v="0"/>
          </reference>
          <reference field="15" count="1">
            <x v="9"/>
          </reference>
        </references>
      </pivotArea>
    </format>
    <format dxfId="145">
      <pivotArea dataOnly="0" labelOnly="1" fieldPosition="0">
        <references count="1">
          <reference field="15" count="1">
            <x v="9"/>
          </reference>
        </references>
      </pivotArea>
    </format>
    <format dxfId="144">
      <pivotArea collapsedLevelsAreSubtotals="1" fieldPosition="0">
        <references count="2">
          <reference field="4294967294" count="1" selected="0">
            <x v="0"/>
          </reference>
          <reference field="15" count="1">
            <x v="11"/>
          </reference>
        </references>
      </pivotArea>
    </format>
    <format dxfId="143">
      <pivotArea dataOnly="0" labelOnly="1" fieldPosition="0">
        <references count="1">
          <reference field="15" count="1">
            <x v="11"/>
          </reference>
        </references>
      </pivotArea>
    </format>
    <format dxfId="1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1">
      <pivotArea outline="0" collapsedLevelsAreSubtotals="1" fieldPosition="0"/>
    </format>
    <format dxfId="140">
      <pivotArea dataOnly="0" labelOnly="1" fieldPosition="0">
        <references count="1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968E-76EC-44DE-8F15-F3238EF59AD4}">
  <dimension ref="A1:C10"/>
  <sheetViews>
    <sheetView workbookViewId="0">
      <selection activeCell="B23" sqref="B23"/>
    </sheetView>
  </sheetViews>
  <sheetFormatPr defaultRowHeight="15" x14ac:dyDescent="0.25"/>
  <cols>
    <col min="1" max="1" width="25.140625" customWidth="1"/>
    <col min="2" max="2" width="12.85546875" customWidth="1"/>
    <col min="3" max="3" width="45.7109375" customWidth="1"/>
    <col min="4" max="4" width="13.7109375" customWidth="1"/>
    <col min="5" max="5" width="26.85546875" customWidth="1"/>
    <col min="6" max="6" width="11.28515625" customWidth="1"/>
    <col min="7" max="7" width="16.140625" customWidth="1"/>
  </cols>
  <sheetData>
    <row r="1" spans="1:3" ht="18.75" x14ac:dyDescent="0.3">
      <c r="A1" s="30" t="s">
        <v>261</v>
      </c>
      <c r="B1" s="31"/>
      <c r="C1" s="31"/>
    </row>
    <row r="2" spans="1:3" x14ac:dyDescent="0.25">
      <c r="A2" s="3" t="s">
        <v>246</v>
      </c>
      <c r="B2" s="3" t="s">
        <v>247</v>
      </c>
      <c r="C2" s="3" t="s">
        <v>252</v>
      </c>
    </row>
    <row r="3" spans="1:3" x14ac:dyDescent="0.25">
      <c r="A3" s="2" t="s">
        <v>236</v>
      </c>
      <c r="B3" s="2" t="s">
        <v>248</v>
      </c>
      <c r="C3" s="2" t="s">
        <v>256</v>
      </c>
    </row>
    <row r="4" spans="1:3" x14ac:dyDescent="0.25">
      <c r="A4" s="2" t="s">
        <v>238</v>
      </c>
      <c r="B4" s="2" t="s">
        <v>249</v>
      </c>
      <c r="C4" s="2" t="s">
        <v>257</v>
      </c>
    </row>
    <row r="5" spans="1:3" x14ac:dyDescent="0.25">
      <c r="A5" s="2" t="s">
        <v>239</v>
      </c>
      <c r="B5" s="2" t="s">
        <v>240</v>
      </c>
      <c r="C5" s="2" t="s">
        <v>253</v>
      </c>
    </row>
    <row r="6" spans="1:3" x14ac:dyDescent="0.25">
      <c r="A6" s="2" t="s">
        <v>241</v>
      </c>
      <c r="B6" s="2" t="s">
        <v>237</v>
      </c>
      <c r="C6" s="2" t="s">
        <v>254</v>
      </c>
    </row>
    <row r="7" spans="1:3" x14ac:dyDescent="0.25">
      <c r="A7" s="2" t="s">
        <v>242</v>
      </c>
      <c r="B7" s="2" t="s">
        <v>237</v>
      </c>
      <c r="C7" s="2" t="s">
        <v>255</v>
      </c>
    </row>
    <row r="8" spans="1:3" x14ac:dyDescent="0.25">
      <c r="A8" s="2" t="s">
        <v>250</v>
      </c>
      <c r="B8" s="2" t="s">
        <v>243</v>
      </c>
      <c r="C8" s="2" t="s">
        <v>258</v>
      </c>
    </row>
    <row r="9" spans="1:3" x14ac:dyDescent="0.25">
      <c r="A9" s="2" t="s">
        <v>244</v>
      </c>
      <c r="B9" s="2" t="s">
        <v>251</v>
      </c>
      <c r="C9" s="2" t="s">
        <v>259</v>
      </c>
    </row>
    <row r="10" spans="1:3" x14ac:dyDescent="0.25">
      <c r="A10" s="2" t="s">
        <v>245</v>
      </c>
      <c r="B10" s="2" t="s">
        <v>240</v>
      </c>
      <c r="C10" s="2" t="s">
        <v>260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5EAD-8895-4590-AD42-7396EEA011A3}">
  <dimension ref="A1:N121"/>
  <sheetViews>
    <sheetView tabSelected="1" topLeftCell="C1" zoomScaleNormal="100" workbookViewId="0">
      <selection activeCell="I16" sqref="I16"/>
    </sheetView>
  </sheetViews>
  <sheetFormatPr defaultRowHeight="15" x14ac:dyDescent="0.25"/>
  <cols>
    <col min="1" max="1" width="16.28515625" bestFit="1" customWidth="1"/>
    <col min="2" max="2" width="15.140625" bestFit="1" customWidth="1"/>
    <col min="3" max="3" width="11.85546875" style="1" customWidth="1"/>
    <col min="4" max="4" width="10" bestFit="1" customWidth="1"/>
    <col min="5" max="5" width="14.7109375" bestFit="1" customWidth="1"/>
    <col min="6" max="6" width="12" style="6" customWidth="1"/>
    <col min="7" max="7" width="9.42578125" style="6" customWidth="1"/>
    <col min="8" max="8" width="16.85546875" style="6" customWidth="1"/>
    <col min="9" max="9" width="16.140625" style="1" customWidth="1"/>
    <col min="10" max="10" width="19.28515625" customWidth="1"/>
    <col min="11" max="11" width="20.28515625" customWidth="1"/>
    <col min="12" max="12" width="16.42578125" customWidth="1"/>
    <col min="13" max="13" width="17.42578125" customWidth="1"/>
  </cols>
  <sheetData>
    <row r="1" spans="1:14" x14ac:dyDescent="0.25">
      <c r="A1" s="4" t="s">
        <v>235</v>
      </c>
      <c r="B1" s="4" t="s">
        <v>0</v>
      </c>
      <c r="C1" s="8" t="s">
        <v>1</v>
      </c>
      <c r="D1" s="4" t="s">
        <v>2</v>
      </c>
      <c r="E1" s="4" t="s">
        <v>3</v>
      </c>
      <c r="F1" s="5" t="s">
        <v>263</v>
      </c>
      <c r="G1" s="5" t="s">
        <v>4</v>
      </c>
      <c r="H1" s="5" t="s">
        <v>290</v>
      </c>
      <c r="I1" s="8" t="s">
        <v>5</v>
      </c>
      <c r="J1" s="5" t="s">
        <v>284</v>
      </c>
      <c r="K1" s="4" t="s">
        <v>262</v>
      </c>
      <c r="L1" s="5" t="s">
        <v>264</v>
      </c>
      <c r="M1" s="5" t="s">
        <v>285</v>
      </c>
      <c r="N1" s="4" t="s">
        <v>289</v>
      </c>
    </row>
    <row r="2" spans="1:14" x14ac:dyDescent="0.25">
      <c r="A2" t="s">
        <v>6</v>
      </c>
      <c r="B2" t="s">
        <v>7</v>
      </c>
      <c r="C2" s="1" cm="1">
        <f t="array" aca="1" ref="C2" ca="1">C2:M7311/30/2025</f>
        <v>0</v>
      </c>
      <c r="D2" t="s">
        <v>8</v>
      </c>
      <c r="E2" t="s">
        <v>9</v>
      </c>
      <c r="F2" s="7">
        <v>341.07</v>
      </c>
      <c r="G2" s="6">
        <v>9</v>
      </c>
      <c r="H2" s="6">
        <v>0.25</v>
      </c>
      <c r="I2" s="1">
        <v>45802</v>
      </c>
      <c r="J2" s="9">
        <f>F2*G2</f>
        <v>3069.63</v>
      </c>
      <c r="K2" s="9">
        <f>(F2*G2)*(1-H2)</f>
        <v>2302.2224999999999</v>
      </c>
      <c r="L2" t="str">
        <f ca="1">IF(_xlfn.DAYS(C2,I2)&gt;30,"RETURNING","NEW")</f>
        <v>RETURNING</v>
      </c>
      <c r="M2" s="9">
        <f>(F2*G2)*H2</f>
        <v>767.40750000000003</v>
      </c>
      <c r="N2" t="str">
        <f>_xlfn.XLOOKUP(B2, 'Task 2'!$E:$E,'Task 2'!$I:$I,"High Risk",0)</f>
        <v>High Risk</v>
      </c>
    </row>
    <row r="3" spans="1:14" x14ac:dyDescent="0.25">
      <c r="A3" t="s">
        <v>10</v>
      </c>
      <c r="B3" t="s">
        <v>11</v>
      </c>
      <c r="C3" s="1">
        <v>45906</v>
      </c>
      <c r="D3" t="s">
        <v>12</v>
      </c>
      <c r="E3" t="s">
        <v>13</v>
      </c>
      <c r="F3" s="7">
        <v>31.02</v>
      </c>
      <c r="G3" s="6">
        <v>1</v>
      </c>
      <c r="H3" s="6">
        <v>0.2</v>
      </c>
      <c r="I3" s="1">
        <v>45869</v>
      </c>
      <c r="J3" s="9">
        <f>F3*G3</f>
        <v>31.02</v>
      </c>
      <c r="K3" s="9">
        <f t="shared" ref="K3:K66" si="0">(F3*G3)*(1-H3)</f>
        <v>24.816000000000003</v>
      </c>
      <c r="L3" t="str">
        <f t="shared" ref="L3:L66" si="1">IF(_xlfn.DAYS(C3,I3)&gt;30,"RETURNING","NEW")</f>
        <v>RETURNING</v>
      </c>
      <c r="M3" s="9">
        <f t="shared" ref="M3:M66" si="2">(F3*G3)*H3</f>
        <v>6.2040000000000006</v>
      </c>
      <c r="N3" t="str">
        <f>_xlfn.XLOOKUP(B3, 'Task 2'!$E:$E,'Task 2'!$I:$I,"Good",0)</f>
        <v>Good</v>
      </c>
    </row>
    <row r="4" spans="1:14" x14ac:dyDescent="0.25">
      <c r="A4" t="s">
        <v>14</v>
      </c>
      <c r="B4" t="s">
        <v>15</v>
      </c>
      <c r="C4" s="1">
        <v>46008</v>
      </c>
      <c r="D4" t="s">
        <v>12</v>
      </c>
      <c r="E4" t="s">
        <v>9</v>
      </c>
      <c r="F4" s="7">
        <v>448.54</v>
      </c>
      <c r="G4" s="6">
        <v>5</v>
      </c>
      <c r="H4" s="6">
        <v>0.3</v>
      </c>
      <c r="I4" s="1">
        <v>45956</v>
      </c>
      <c r="J4" s="9">
        <f t="shared" ref="J4:J66" si="3">F4*G4</f>
        <v>2242.7000000000003</v>
      </c>
      <c r="K4" s="9">
        <f t="shared" si="0"/>
        <v>1569.89</v>
      </c>
      <c r="L4" t="str">
        <f t="shared" si="1"/>
        <v>RETURNING</v>
      </c>
      <c r="M4" s="9">
        <f t="shared" si="2"/>
        <v>672.81000000000006</v>
      </c>
      <c r="N4" t="str">
        <f>_xlfn.XLOOKUP(B4, 'Task 2'!$E:$E,'Task 2'!$I:$I,"Good",0)</f>
        <v>High Risk</v>
      </c>
    </row>
    <row r="5" spans="1:14" x14ac:dyDescent="0.25">
      <c r="A5" t="s">
        <v>16</v>
      </c>
      <c r="B5" t="s">
        <v>17</v>
      </c>
      <c r="C5" s="1">
        <v>46022</v>
      </c>
      <c r="D5" t="s">
        <v>18</v>
      </c>
      <c r="E5" t="s">
        <v>19</v>
      </c>
      <c r="F5" s="7">
        <v>122.6</v>
      </c>
      <c r="G5" s="6">
        <v>14</v>
      </c>
      <c r="H5" s="6">
        <v>0</v>
      </c>
      <c r="I5" s="1">
        <v>45932</v>
      </c>
      <c r="J5" s="9">
        <f t="shared" si="3"/>
        <v>1716.3999999999999</v>
      </c>
      <c r="K5" s="9">
        <f t="shared" si="0"/>
        <v>1716.3999999999999</v>
      </c>
      <c r="L5" t="str">
        <f t="shared" si="1"/>
        <v>RETURNING</v>
      </c>
      <c r="M5" s="9">
        <f t="shared" si="2"/>
        <v>0</v>
      </c>
      <c r="N5" t="str">
        <f>_xlfn.XLOOKUP(B5, 'Task 2'!$E:$E,'Task 2'!$I:$I,"Good",0)</f>
        <v>Good</v>
      </c>
    </row>
    <row r="6" spans="1:14" x14ac:dyDescent="0.25">
      <c r="A6" t="s">
        <v>20</v>
      </c>
      <c r="B6" t="s">
        <v>21</v>
      </c>
      <c r="C6" s="1">
        <v>45946</v>
      </c>
      <c r="D6" t="s">
        <v>12</v>
      </c>
      <c r="E6" t="s">
        <v>22</v>
      </c>
      <c r="F6" s="7">
        <v>114.46</v>
      </c>
      <c r="G6" s="6">
        <v>1</v>
      </c>
      <c r="H6" s="6">
        <v>0.05</v>
      </c>
      <c r="I6" s="1">
        <v>45808</v>
      </c>
      <c r="J6" s="9">
        <f t="shared" si="3"/>
        <v>114.46</v>
      </c>
      <c r="K6" s="9">
        <f t="shared" si="0"/>
        <v>108.73699999999999</v>
      </c>
      <c r="L6" t="str">
        <f t="shared" si="1"/>
        <v>RETURNING</v>
      </c>
      <c r="M6" s="9">
        <f t="shared" si="2"/>
        <v>5.7229999999999999</v>
      </c>
      <c r="N6" t="str">
        <f>_xlfn.XLOOKUP(B6, 'Task 2'!$E:$E,'Task 2'!$I:$I,"Good",0)</f>
        <v>Good</v>
      </c>
    </row>
    <row r="7" spans="1:14" x14ac:dyDescent="0.25">
      <c r="A7" t="s">
        <v>23</v>
      </c>
      <c r="B7" t="s">
        <v>24</v>
      </c>
      <c r="C7" s="1">
        <v>45884</v>
      </c>
      <c r="D7" t="s">
        <v>18</v>
      </c>
      <c r="E7" t="s">
        <v>13</v>
      </c>
      <c r="F7" s="7">
        <v>241.33</v>
      </c>
      <c r="G7" s="6">
        <v>6</v>
      </c>
      <c r="H7" s="6">
        <v>0.1</v>
      </c>
      <c r="I7" s="1">
        <v>45879</v>
      </c>
      <c r="J7" s="9">
        <f t="shared" si="3"/>
        <v>1447.98</v>
      </c>
      <c r="K7" s="9">
        <f t="shared" si="0"/>
        <v>1303.182</v>
      </c>
      <c r="L7" t="str">
        <f>IF(_xlfn.DAYS(C7,I7)&gt;30,"RETURNING","NEW")</f>
        <v>NEW</v>
      </c>
      <c r="M7" s="9">
        <f t="shared" si="2"/>
        <v>144.798</v>
      </c>
      <c r="N7" t="str">
        <f>_xlfn.XLOOKUP(B7, 'Task 2'!$E:$E,'Task 2'!$I:$I,"Good",0)</f>
        <v>Good</v>
      </c>
    </row>
    <row r="8" spans="1:14" x14ac:dyDescent="0.25">
      <c r="A8" t="s">
        <v>25</v>
      </c>
      <c r="B8" t="s">
        <v>26</v>
      </c>
      <c r="C8" s="1">
        <v>45889</v>
      </c>
      <c r="D8" t="s">
        <v>27</v>
      </c>
      <c r="E8" t="s">
        <v>9</v>
      </c>
      <c r="F8" s="7">
        <v>53.46</v>
      </c>
      <c r="G8" s="6">
        <v>11</v>
      </c>
      <c r="H8" s="6">
        <v>0</v>
      </c>
      <c r="I8" s="1">
        <v>45813</v>
      </c>
      <c r="J8" s="9">
        <f t="shared" si="3"/>
        <v>588.06000000000006</v>
      </c>
      <c r="K8" s="9">
        <f t="shared" si="0"/>
        <v>588.06000000000006</v>
      </c>
      <c r="L8" t="str">
        <f t="shared" si="1"/>
        <v>RETURNING</v>
      </c>
      <c r="M8" s="9">
        <f t="shared" si="2"/>
        <v>0</v>
      </c>
      <c r="N8" t="str">
        <f>_xlfn.XLOOKUP(B8, 'Task 2'!$E:$E,'Task 2'!$I:$I,"Good",0)</f>
        <v>Good</v>
      </c>
    </row>
    <row r="9" spans="1:14" x14ac:dyDescent="0.25">
      <c r="A9" t="s">
        <v>28</v>
      </c>
      <c r="B9" t="s">
        <v>29</v>
      </c>
      <c r="C9" s="1">
        <v>45944</v>
      </c>
      <c r="D9" t="s">
        <v>8</v>
      </c>
      <c r="E9" t="s">
        <v>9</v>
      </c>
      <c r="F9" s="7">
        <v>284.83</v>
      </c>
      <c r="G9" s="6">
        <v>2</v>
      </c>
      <c r="H9" s="6">
        <v>0.1</v>
      </c>
      <c r="I9" s="1">
        <v>45915</v>
      </c>
      <c r="J9" s="9">
        <f t="shared" si="3"/>
        <v>569.66</v>
      </c>
      <c r="K9" s="9">
        <f t="shared" si="0"/>
        <v>512.69399999999996</v>
      </c>
      <c r="L9" t="str">
        <f t="shared" si="1"/>
        <v>NEW</v>
      </c>
      <c r="M9" s="9">
        <f t="shared" si="2"/>
        <v>56.966000000000001</v>
      </c>
      <c r="N9" t="str">
        <f>_xlfn.XLOOKUP(B9, 'Task 2'!$E:$E,'Task 2'!$I:$I,"Good",0)</f>
        <v>Good</v>
      </c>
    </row>
    <row r="10" spans="1:14" x14ac:dyDescent="0.25">
      <c r="A10" t="s">
        <v>30</v>
      </c>
      <c r="B10" t="s">
        <v>31</v>
      </c>
      <c r="C10" s="1">
        <v>45886</v>
      </c>
      <c r="D10" t="s">
        <v>27</v>
      </c>
      <c r="E10" t="s">
        <v>13</v>
      </c>
      <c r="F10" s="7">
        <v>167.51</v>
      </c>
      <c r="G10" s="6">
        <v>2</v>
      </c>
      <c r="H10" s="6">
        <v>0.05</v>
      </c>
      <c r="I10" s="1">
        <v>45880</v>
      </c>
      <c r="J10" s="9">
        <f t="shared" si="3"/>
        <v>335.02</v>
      </c>
      <c r="K10" s="9">
        <f t="shared" si="0"/>
        <v>318.26899999999995</v>
      </c>
      <c r="L10" t="str">
        <f t="shared" si="1"/>
        <v>NEW</v>
      </c>
      <c r="M10" s="9">
        <f t="shared" si="2"/>
        <v>16.751000000000001</v>
      </c>
      <c r="N10" t="str">
        <f>_xlfn.XLOOKUP(B10, 'Task 2'!$E:$E,'Task 2'!$I:$I,"Good",0)</f>
        <v>Good</v>
      </c>
    </row>
    <row r="11" spans="1:14" x14ac:dyDescent="0.25">
      <c r="A11" t="s">
        <v>32</v>
      </c>
      <c r="B11" t="s">
        <v>33</v>
      </c>
      <c r="C11" s="1">
        <v>45739</v>
      </c>
      <c r="D11" t="s">
        <v>8</v>
      </c>
      <c r="E11" t="s">
        <v>13</v>
      </c>
      <c r="F11" s="7">
        <v>166.49</v>
      </c>
      <c r="G11" s="6">
        <v>6</v>
      </c>
      <c r="H11" s="6">
        <v>0</v>
      </c>
      <c r="I11" s="1">
        <v>45703</v>
      </c>
      <c r="J11" s="9">
        <f t="shared" si="3"/>
        <v>998.94</v>
      </c>
      <c r="K11" s="9">
        <f t="shared" si="0"/>
        <v>998.94</v>
      </c>
      <c r="L11" t="str">
        <f t="shared" si="1"/>
        <v>RETURNING</v>
      </c>
      <c r="M11" s="9">
        <f t="shared" si="2"/>
        <v>0</v>
      </c>
      <c r="N11" t="str">
        <f>_xlfn.XLOOKUP(B11, 'Task 2'!$E:$E,'Task 2'!$I:$I,"Good",0)</f>
        <v>Good</v>
      </c>
    </row>
    <row r="12" spans="1:14" x14ac:dyDescent="0.25">
      <c r="A12" t="s">
        <v>34</v>
      </c>
      <c r="B12" t="s">
        <v>35</v>
      </c>
      <c r="C12" s="1">
        <v>45758</v>
      </c>
      <c r="D12" t="s">
        <v>8</v>
      </c>
      <c r="E12" t="s">
        <v>36</v>
      </c>
      <c r="F12" s="7">
        <v>428.04</v>
      </c>
      <c r="G12" s="6">
        <v>4</v>
      </c>
      <c r="H12" s="6">
        <v>0.05</v>
      </c>
      <c r="I12" s="1">
        <v>45715</v>
      </c>
      <c r="J12" s="9">
        <f t="shared" si="3"/>
        <v>1712.16</v>
      </c>
      <c r="K12" s="9">
        <f t="shared" si="0"/>
        <v>1626.5519999999999</v>
      </c>
      <c r="L12" t="str">
        <f t="shared" si="1"/>
        <v>RETURNING</v>
      </c>
      <c r="M12" s="9">
        <f t="shared" si="2"/>
        <v>85.608000000000004</v>
      </c>
      <c r="N12" t="str">
        <f>_xlfn.XLOOKUP(B12, 'Task 2'!$E:$E,'Task 2'!$I:$I,"Good",0)</f>
        <v>Good</v>
      </c>
    </row>
    <row r="13" spans="1:14" x14ac:dyDescent="0.25">
      <c r="A13" t="s">
        <v>37</v>
      </c>
      <c r="B13" t="s">
        <v>38</v>
      </c>
      <c r="C13" s="1">
        <v>45797</v>
      </c>
      <c r="D13" t="s">
        <v>12</v>
      </c>
      <c r="E13" t="s">
        <v>22</v>
      </c>
      <c r="F13" s="7">
        <v>43.81</v>
      </c>
      <c r="G13" s="6">
        <v>5</v>
      </c>
      <c r="H13" s="6">
        <v>0.05</v>
      </c>
      <c r="I13" s="1">
        <v>45714</v>
      </c>
      <c r="J13" s="9">
        <f t="shared" si="3"/>
        <v>219.05</v>
      </c>
      <c r="K13" s="9">
        <f t="shared" si="0"/>
        <v>208.0975</v>
      </c>
      <c r="L13" t="str">
        <f t="shared" si="1"/>
        <v>RETURNING</v>
      </c>
      <c r="M13" s="9">
        <f t="shared" si="2"/>
        <v>10.952500000000001</v>
      </c>
      <c r="N13" t="str">
        <f>_xlfn.XLOOKUP(B13, 'Task 2'!$E:$E,'Task 2'!$I:$I,"Good",0)</f>
        <v>Good</v>
      </c>
    </row>
    <row r="14" spans="1:14" x14ac:dyDescent="0.25">
      <c r="A14" t="s">
        <v>39</v>
      </c>
      <c r="B14" t="s">
        <v>40</v>
      </c>
      <c r="C14" s="1">
        <v>45741</v>
      </c>
      <c r="D14" t="s">
        <v>12</v>
      </c>
      <c r="E14" t="s">
        <v>19</v>
      </c>
      <c r="F14" s="7">
        <v>267.14999999999998</v>
      </c>
      <c r="G14" s="6">
        <v>11</v>
      </c>
      <c r="H14" s="6">
        <v>0.1</v>
      </c>
      <c r="I14" s="1">
        <v>45711</v>
      </c>
      <c r="J14" s="9">
        <f t="shared" si="3"/>
        <v>2938.6499999999996</v>
      </c>
      <c r="K14" s="9">
        <f t="shared" si="0"/>
        <v>2644.7849999999999</v>
      </c>
      <c r="L14" t="str">
        <f t="shared" si="1"/>
        <v>NEW</v>
      </c>
      <c r="M14" s="9">
        <f t="shared" si="2"/>
        <v>293.86499999999995</v>
      </c>
      <c r="N14" t="str">
        <f>_xlfn.XLOOKUP(B14, 'Task 2'!$E:$E,'Task 2'!$I:$I,"Good",0)</f>
        <v>Good</v>
      </c>
    </row>
    <row r="15" spans="1:14" x14ac:dyDescent="0.25">
      <c r="A15" t="s">
        <v>41</v>
      </c>
      <c r="B15" t="s">
        <v>42</v>
      </c>
      <c r="C15" s="1">
        <v>45910</v>
      </c>
      <c r="D15" t="s">
        <v>8</v>
      </c>
      <c r="E15" t="s">
        <v>19</v>
      </c>
      <c r="F15" s="7">
        <v>75.39</v>
      </c>
      <c r="G15" s="6">
        <v>8</v>
      </c>
      <c r="H15" s="6">
        <v>0.15</v>
      </c>
      <c r="I15" s="1">
        <v>45904</v>
      </c>
      <c r="J15" s="9">
        <f t="shared" si="3"/>
        <v>603.12</v>
      </c>
      <c r="K15" s="9">
        <f t="shared" si="0"/>
        <v>512.65200000000004</v>
      </c>
      <c r="L15" t="str">
        <f t="shared" si="1"/>
        <v>NEW</v>
      </c>
      <c r="M15" s="9">
        <f t="shared" si="2"/>
        <v>90.468000000000004</v>
      </c>
      <c r="N15" t="str">
        <f>_xlfn.XLOOKUP(B15, 'Task 2'!$E:$E,'Task 2'!$I:$I,"Good",0)</f>
        <v>Good</v>
      </c>
    </row>
    <row r="16" spans="1:14" x14ac:dyDescent="0.25">
      <c r="A16" t="s">
        <v>43</v>
      </c>
      <c r="B16" t="s">
        <v>38</v>
      </c>
      <c r="C16" s="1">
        <v>45737</v>
      </c>
      <c r="D16" t="s">
        <v>27</v>
      </c>
      <c r="E16" t="s">
        <v>19</v>
      </c>
      <c r="F16" s="7">
        <v>239.13</v>
      </c>
      <c r="G16" s="6">
        <v>2</v>
      </c>
      <c r="H16" s="6">
        <v>0.2</v>
      </c>
      <c r="I16" s="1">
        <v>45714</v>
      </c>
      <c r="J16" s="9">
        <f t="shared" si="3"/>
        <v>478.26</v>
      </c>
      <c r="K16" s="9">
        <f t="shared" si="0"/>
        <v>382.608</v>
      </c>
      <c r="L16" t="str">
        <f t="shared" si="1"/>
        <v>NEW</v>
      </c>
      <c r="M16" s="9">
        <f t="shared" si="2"/>
        <v>95.652000000000001</v>
      </c>
      <c r="N16" t="str">
        <f>_xlfn.XLOOKUP(B16, 'Task 2'!$E:$E,'Task 2'!$I:$I,"Good",0)</f>
        <v>Good</v>
      </c>
    </row>
    <row r="17" spans="1:14" x14ac:dyDescent="0.25">
      <c r="A17" t="s">
        <v>44</v>
      </c>
      <c r="B17" t="s">
        <v>45</v>
      </c>
      <c r="C17" s="1">
        <v>45836</v>
      </c>
      <c r="D17" t="s">
        <v>12</v>
      </c>
      <c r="E17" t="s">
        <v>9</v>
      </c>
      <c r="F17" s="7">
        <v>165.11</v>
      </c>
      <c r="G17" s="6">
        <v>10</v>
      </c>
      <c r="H17" s="6">
        <v>0.2</v>
      </c>
      <c r="I17" s="1">
        <v>45825</v>
      </c>
      <c r="J17" s="9">
        <f t="shared" si="3"/>
        <v>1651.1000000000001</v>
      </c>
      <c r="K17" s="9">
        <f t="shared" si="0"/>
        <v>1320.88</v>
      </c>
      <c r="L17" t="str">
        <f t="shared" si="1"/>
        <v>NEW</v>
      </c>
      <c r="M17" s="9">
        <f t="shared" si="2"/>
        <v>330.22</v>
      </c>
      <c r="N17" t="str">
        <f>_xlfn.XLOOKUP(B17, 'Task 2'!$E:$E,'Task 2'!$I:$I,"Good",0)</f>
        <v>Good</v>
      </c>
    </row>
    <row r="18" spans="1:14" x14ac:dyDescent="0.25">
      <c r="A18" t="s">
        <v>46</v>
      </c>
      <c r="B18" t="s">
        <v>47</v>
      </c>
      <c r="C18" s="1">
        <v>45876</v>
      </c>
      <c r="D18" t="s">
        <v>12</v>
      </c>
      <c r="E18" t="s">
        <v>9</v>
      </c>
      <c r="F18" s="7">
        <v>215.44</v>
      </c>
      <c r="G18" s="6">
        <v>10</v>
      </c>
      <c r="H18" s="6">
        <v>0.25</v>
      </c>
      <c r="I18" s="1">
        <v>45872</v>
      </c>
      <c r="J18" s="9">
        <f t="shared" si="3"/>
        <v>2154.4</v>
      </c>
      <c r="K18" s="9">
        <f t="shared" si="0"/>
        <v>1615.8000000000002</v>
      </c>
      <c r="L18" t="str">
        <f t="shared" si="1"/>
        <v>NEW</v>
      </c>
      <c r="M18" s="9">
        <f t="shared" si="2"/>
        <v>538.6</v>
      </c>
      <c r="N18" t="str">
        <f>_xlfn.XLOOKUP(B18, 'Task 2'!$E:$E,'Task 2'!$I:$I,"Good",0)</f>
        <v>Good</v>
      </c>
    </row>
    <row r="19" spans="1:14" x14ac:dyDescent="0.25">
      <c r="A19" t="s">
        <v>48</v>
      </c>
      <c r="B19" t="s">
        <v>49</v>
      </c>
      <c r="C19" s="1">
        <v>45717</v>
      </c>
      <c r="D19" t="s">
        <v>18</v>
      </c>
      <c r="E19" t="s">
        <v>9</v>
      </c>
      <c r="F19" s="7">
        <v>154.88999999999999</v>
      </c>
      <c r="G19" s="6">
        <v>10</v>
      </c>
      <c r="H19" s="6">
        <v>0</v>
      </c>
      <c r="I19" s="1">
        <v>45711</v>
      </c>
      <c r="J19" s="9">
        <f t="shared" si="3"/>
        <v>1548.8999999999999</v>
      </c>
      <c r="K19" s="9">
        <f t="shared" si="0"/>
        <v>1548.8999999999999</v>
      </c>
      <c r="L19" t="str">
        <f t="shared" si="1"/>
        <v>NEW</v>
      </c>
      <c r="M19" s="9">
        <f t="shared" si="2"/>
        <v>0</v>
      </c>
      <c r="N19" t="str">
        <f>_xlfn.XLOOKUP(B19, 'Task 2'!$E:$E,'Task 2'!$I:$I,"Good",0)</f>
        <v>Good</v>
      </c>
    </row>
    <row r="20" spans="1:14" x14ac:dyDescent="0.25">
      <c r="A20" t="s">
        <v>50</v>
      </c>
      <c r="B20" t="s">
        <v>51</v>
      </c>
      <c r="C20" s="1">
        <v>45825</v>
      </c>
      <c r="D20" t="s">
        <v>8</v>
      </c>
      <c r="E20" t="s">
        <v>19</v>
      </c>
      <c r="F20" s="7">
        <v>415.58</v>
      </c>
      <c r="G20" s="6">
        <v>13</v>
      </c>
      <c r="H20" s="6">
        <v>0</v>
      </c>
      <c r="I20" s="1">
        <v>45781</v>
      </c>
      <c r="J20" s="9">
        <f t="shared" si="3"/>
        <v>5402.54</v>
      </c>
      <c r="K20" s="9">
        <f t="shared" si="0"/>
        <v>5402.54</v>
      </c>
      <c r="L20" t="str">
        <f t="shared" si="1"/>
        <v>RETURNING</v>
      </c>
      <c r="M20" s="9">
        <f t="shared" si="2"/>
        <v>0</v>
      </c>
      <c r="N20" t="str">
        <f>_xlfn.XLOOKUP(B20, 'Task 2'!$E:$E,'Task 2'!$I:$I,"Good",0)</f>
        <v>Good</v>
      </c>
    </row>
    <row r="21" spans="1:14" x14ac:dyDescent="0.25">
      <c r="A21" t="s">
        <v>52</v>
      </c>
      <c r="B21" t="s">
        <v>53</v>
      </c>
      <c r="C21" s="1">
        <v>45811</v>
      </c>
      <c r="D21" t="s">
        <v>27</v>
      </c>
      <c r="E21" t="s">
        <v>36</v>
      </c>
      <c r="F21" s="7">
        <v>274.82</v>
      </c>
      <c r="G21" s="6">
        <v>4</v>
      </c>
      <c r="H21" s="6">
        <v>0.3</v>
      </c>
      <c r="I21" s="1">
        <v>45720</v>
      </c>
      <c r="J21" s="9">
        <f t="shared" si="3"/>
        <v>1099.28</v>
      </c>
      <c r="K21" s="9">
        <f t="shared" si="0"/>
        <v>769.49599999999998</v>
      </c>
      <c r="L21" t="str">
        <f t="shared" si="1"/>
        <v>RETURNING</v>
      </c>
      <c r="M21" s="9">
        <f t="shared" si="2"/>
        <v>329.78399999999999</v>
      </c>
      <c r="N21" t="str">
        <f>_xlfn.XLOOKUP(B21, 'Task 2'!$E:$E,'Task 2'!$I:$I,"Good",0)</f>
        <v>High Risk</v>
      </c>
    </row>
    <row r="22" spans="1:14" x14ac:dyDescent="0.25">
      <c r="A22" t="s">
        <v>54</v>
      </c>
      <c r="B22" t="s">
        <v>55</v>
      </c>
      <c r="C22" s="1">
        <v>45867</v>
      </c>
      <c r="D22" t="s">
        <v>18</v>
      </c>
      <c r="E22" t="s">
        <v>13</v>
      </c>
      <c r="F22" s="7">
        <v>345.58</v>
      </c>
      <c r="G22" s="6">
        <v>14</v>
      </c>
      <c r="H22" s="6">
        <v>0.05</v>
      </c>
      <c r="I22" s="1">
        <v>45752</v>
      </c>
      <c r="J22" s="9">
        <f t="shared" si="3"/>
        <v>4838.12</v>
      </c>
      <c r="K22" s="9">
        <f t="shared" si="0"/>
        <v>4596.2139999999999</v>
      </c>
      <c r="L22" t="str">
        <f t="shared" si="1"/>
        <v>RETURNING</v>
      </c>
      <c r="M22" s="9">
        <f t="shared" si="2"/>
        <v>241.90600000000001</v>
      </c>
      <c r="N22" t="str">
        <f>_xlfn.XLOOKUP(B22, 'Task 2'!$E:$E,'Task 2'!$I:$I,"Good",0)</f>
        <v>Good</v>
      </c>
    </row>
    <row r="23" spans="1:14" x14ac:dyDescent="0.25">
      <c r="A23" t="s">
        <v>56</v>
      </c>
      <c r="B23" t="s">
        <v>57</v>
      </c>
      <c r="C23" s="1">
        <v>45882</v>
      </c>
      <c r="D23" t="s">
        <v>27</v>
      </c>
      <c r="E23" t="s">
        <v>19</v>
      </c>
      <c r="F23" s="7">
        <v>325.31</v>
      </c>
      <c r="G23" s="6">
        <v>7</v>
      </c>
      <c r="H23" s="6">
        <v>0.25</v>
      </c>
      <c r="I23" s="1">
        <v>45881</v>
      </c>
      <c r="J23" s="9">
        <f t="shared" si="3"/>
        <v>2277.17</v>
      </c>
      <c r="K23" s="9">
        <f t="shared" si="0"/>
        <v>1707.8775000000001</v>
      </c>
      <c r="L23" t="str">
        <f t="shared" si="1"/>
        <v>NEW</v>
      </c>
      <c r="M23" s="9">
        <f t="shared" si="2"/>
        <v>569.29250000000002</v>
      </c>
      <c r="N23" t="str">
        <f>_xlfn.XLOOKUP(B23, 'Task 2'!$E:$E,'Task 2'!$I:$I,"Good",0)</f>
        <v>Good</v>
      </c>
    </row>
    <row r="24" spans="1:14" x14ac:dyDescent="0.25">
      <c r="A24" t="s">
        <v>58</v>
      </c>
      <c r="B24" t="s">
        <v>59</v>
      </c>
      <c r="C24" s="1">
        <v>45849</v>
      </c>
      <c r="D24" t="s">
        <v>18</v>
      </c>
      <c r="E24" t="s">
        <v>13</v>
      </c>
      <c r="F24" s="7">
        <v>169.05</v>
      </c>
      <c r="G24" s="6">
        <v>3</v>
      </c>
      <c r="H24" s="6">
        <v>0.3</v>
      </c>
      <c r="I24" s="1">
        <v>45848</v>
      </c>
      <c r="J24" s="9">
        <f t="shared" si="3"/>
        <v>507.15000000000003</v>
      </c>
      <c r="K24" s="9">
        <f t="shared" si="0"/>
        <v>355.005</v>
      </c>
      <c r="L24" t="str">
        <f t="shared" si="1"/>
        <v>NEW</v>
      </c>
      <c r="M24" s="9">
        <f t="shared" si="2"/>
        <v>152.14500000000001</v>
      </c>
      <c r="N24" t="str">
        <f>_xlfn.XLOOKUP(B24, 'Task 2'!$E:$E,'Task 2'!$I:$I,"Good",0)</f>
        <v>Good</v>
      </c>
    </row>
    <row r="25" spans="1:14" x14ac:dyDescent="0.25">
      <c r="A25" t="s">
        <v>60</v>
      </c>
      <c r="B25" t="s">
        <v>61</v>
      </c>
      <c r="C25" s="1">
        <v>45804</v>
      </c>
      <c r="D25" t="s">
        <v>12</v>
      </c>
      <c r="E25" t="s">
        <v>22</v>
      </c>
      <c r="F25" s="7">
        <v>23.73</v>
      </c>
      <c r="G25" s="6">
        <v>9</v>
      </c>
      <c r="H25" s="6">
        <v>0</v>
      </c>
      <c r="I25" s="1">
        <v>45790</v>
      </c>
      <c r="J25" s="9">
        <f t="shared" si="3"/>
        <v>213.57</v>
      </c>
      <c r="K25" s="9">
        <f t="shared" si="0"/>
        <v>213.57</v>
      </c>
      <c r="L25" t="str">
        <f t="shared" si="1"/>
        <v>NEW</v>
      </c>
      <c r="M25" s="9">
        <f t="shared" si="2"/>
        <v>0</v>
      </c>
      <c r="N25" t="str">
        <f>_xlfn.XLOOKUP(B25, 'Task 2'!$E:$E,'Task 2'!$I:$I,"Good",0)</f>
        <v>Good</v>
      </c>
    </row>
    <row r="26" spans="1:14" x14ac:dyDescent="0.25">
      <c r="A26" t="s">
        <v>62</v>
      </c>
      <c r="B26" t="s">
        <v>63</v>
      </c>
      <c r="C26" s="1">
        <v>45802</v>
      </c>
      <c r="D26" t="s">
        <v>18</v>
      </c>
      <c r="E26" t="s">
        <v>22</v>
      </c>
      <c r="F26" s="7">
        <v>116.45</v>
      </c>
      <c r="G26" s="6">
        <v>13</v>
      </c>
      <c r="H26" s="6">
        <v>0.15</v>
      </c>
      <c r="I26" s="1">
        <v>45798</v>
      </c>
      <c r="J26" s="9">
        <f t="shared" si="3"/>
        <v>1513.8500000000001</v>
      </c>
      <c r="K26" s="9">
        <f t="shared" si="0"/>
        <v>1286.7725</v>
      </c>
      <c r="L26" t="str">
        <f t="shared" si="1"/>
        <v>NEW</v>
      </c>
      <c r="M26" s="9">
        <f t="shared" si="2"/>
        <v>227.07750000000001</v>
      </c>
      <c r="N26" t="str">
        <f>_xlfn.XLOOKUP(B26, 'Task 2'!$E:$E,'Task 2'!$I:$I,"Good",0)</f>
        <v>Good</v>
      </c>
    </row>
    <row r="27" spans="1:14" x14ac:dyDescent="0.25">
      <c r="A27" t="s">
        <v>64</v>
      </c>
      <c r="B27" t="s">
        <v>65</v>
      </c>
      <c r="C27" s="1">
        <v>45894</v>
      </c>
      <c r="D27" t="s">
        <v>8</v>
      </c>
      <c r="E27" t="s">
        <v>36</v>
      </c>
      <c r="F27" s="7">
        <v>231.82</v>
      </c>
      <c r="G27" s="6">
        <v>4</v>
      </c>
      <c r="H27" s="6">
        <v>0.3</v>
      </c>
      <c r="I27" s="1">
        <v>45843</v>
      </c>
      <c r="J27" s="9">
        <f t="shared" si="3"/>
        <v>927.28</v>
      </c>
      <c r="K27" s="9">
        <f t="shared" si="0"/>
        <v>649.09599999999989</v>
      </c>
      <c r="L27" t="str">
        <f t="shared" si="1"/>
        <v>RETURNING</v>
      </c>
      <c r="M27" s="9">
        <f t="shared" si="2"/>
        <v>278.18399999999997</v>
      </c>
      <c r="N27" t="str">
        <f>_xlfn.XLOOKUP(B27, 'Task 2'!$E:$E,'Task 2'!$I:$I,"Good",0)</f>
        <v>High Risk</v>
      </c>
    </row>
    <row r="28" spans="1:14" x14ac:dyDescent="0.25">
      <c r="A28" t="s">
        <v>66</v>
      </c>
      <c r="B28" t="s">
        <v>49</v>
      </c>
      <c r="C28" s="1">
        <v>45747</v>
      </c>
      <c r="D28" t="s">
        <v>27</v>
      </c>
      <c r="E28" t="s">
        <v>36</v>
      </c>
      <c r="F28" s="7">
        <v>260.54000000000002</v>
      </c>
      <c r="G28" s="6">
        <v>10</v>
      </c>
      <c r="H28" s="6">
        <v>0</v>
      </c>
      <c r="I28" s="1">
        <v>45711</v>
      </c>
      <c r="J28" s="9">
        <f t="shared" si="3"/>
        <v>2605.4</v>
      </c>
      <c r="K28" s="9">
        <f t="shared" si="0"/>
        <v>2605.4</v>
      </c>
      <c r="L28" t="str">
        <f t="shared" si="1"/>
        <v>RETURNING</v>
      </c>
      <c r="M28" s="9">
        <f t="shared" si="2"/>
        <v>0</v>
      </c>
      <c r="N28" t="str">
        <f>_xlfn.XLOOKUP(B28, 'Task 2'!$E:$E,'Task 2'!$I:$I,"Good",0)</f>
        <v>Good</v>
      </c>
    </row>
    <row r="29" spans="1:14" x14ac:dyDescent="0.25">
      <c r="A29" t="s">
        <v>67</v>
      </c>
      <c r="B29" t="s">
        <v>68</v>
      </c>
      <c r="C29" s="1">
        <v>45967</v>
      </c>
      <c r="D29" t="s">
        <v>18</v>
      </c>
      <c r="E29" t="s">
        <v>13</v>
      </c>
      <c r="F29" s="7">
        <v>121.29</v>
      </c>
      <c r="G29" s="6">
        <v>11</v>
      </c>
      <c r="H29" s="6">
        <v>0.2</v>
      </c>
      <c r="I29" s="1">
        <v>45947</v>
      </c>
      <c r="J29" s="9">
        <f t="shared" si="3"/>
        <v>1334.19</v>
      </c>
      <c r="K29" s="9">
        <f t="shared" si="0"/>
        <v>1067.3520000000001</v>
      </c>
      <c r="L29" t="str">
        <f t="shared" si="1"/>
        <v>NEW</v>
      </c>
      <c r="M29" s="9">
        <f t="shared" si="2"/>
        <v>266.83800000000002</v>
      </c>
      <c r="N29" t="str">
        <f>_xlfn.XLOOKUP(B29, 'Task 2'!$E:$E,'Task 2'!$I:$I,"Good",0)</f>
        <v>Good</v>
      </c>
    </row>
    <row r="30" spans="1:14" x14ac:dyDescent="0.25">
      <c r="A30" t="s">
        <v>69</v>
      </c>
      <c r="B30" t="s">
        <v>70</v>
      </c>
      <c r="C30" s="1">
        <v>45905</v>
      </c>
      <c r="D30" t="s">
        <v>12</v>
      </c>
      <c r="E30" t="s">
        <v>9</v>
      </c>
      <c r="F30" s="7">
        <v>81.489999999999995</v>
      </c>
      <c r="G30" s="6">
        <v>7</v>
      </c>
      <c r="H30" s="6">
        <v>0.15</v>
      </c>
      <c r="I30" s="1">
        <v>45783</v>
      </c>
      <c r="J30" s="9">
        <f t="shared" si="3"/>
        <v>570.42999999999995</v>
      </c>
      <c r="K30" s="9">
        <f t="shared" si="0"/>
        <v>484.86549999999994</v>
      </c>
      <c r="L30" t="str">
        <f t="shared" si="1"/>
        <v>RETURNING</v>
      </c>
      <c r="M30" s="9">
        <f t="shared" si="2"/>
        <v>85.564499999999995</v>
      </c>
      <c r="N30" t="str">
        <f>_xlfn.XLOOKUP(B30, 'Task 2'!$E:$E,'Task 2'!$I:$I,"Good",0)</f>
        <v>Good</v>
      </c>
    </row>
    <row r="31" spans="1:14" x14ac:dyDescent="0.25">
      <c r="A31" t="s">
        <v>71</v>
      </c>
      <c r="B31" t="s">
        <v>24</v>
      </c>
      <c r="C31" s="1">
        <v>45881</v>
      </c>
      <c r="D31" t="s">
        <v>12</v>
      </c>
      <c r="E31" t="s">
        <v>19</v>
      </c>
      <c r="F31" s="7">
        <v>243.16</v>
      </c>
      <c r="G31" s="6">
        <v>8</v>
      </c>
      <c r="H31" s="6">
        <v>0.2</v>
      </c>
      <c r="I31" s="1">
        <v>45879</v>
      </c>
      <c r="J31" s="9">
        <f t="shared" si="3"/>
        <v>1945.28</v>
      </c>
      <c r="K31" s="9">
        <f t="shared" si="0"/>
        <v>1556.2240000000002</v>
      </c>
      <c r="L31" t="str">
        <f t="shared" si="1"/>
        <v>NEW</v>
      </c>
      <c r="M31" s="9">
        <f t="shared" si="2"/>
        <v>389.05600000000004</v>
      </c>
      <c r="N31" t="str">
        <f>_xlfn.XLOOKUP(B31, 'Task 2'!$E:$E,'Task 2'!$I:$I,"Good",0)</f>
        <v>Good</v>
      </c>
    </row>
    <row r="32" spans="1:14" x14ac:dyDescent="0.25">
      <c r="A32" t="s">
        <v>72</v>
      </c>
      <c r="B32" t="s">
        <v>73</v>
      </c>
      <c r="C32" s="1">
        <v>46022</v>
      </c>
      <c r="D32" t="s">
        <v>18</v>
      </c>
      <c r="E32" t="s">
        <v>13</v>
      </c>
      <c r="F32" s="7">
        <v>265.56</v>
      </c>
      <c r="G32" s="6">
        <v>11</v>
      </c>
      <c r="H32" s="6">
        <v>0.15</v>
      </c>
      <c r="I32" s="1">
        <v>45921</v>
      </c>
      <c r="J32" s="9">
        <f t="shared" si="3"/>
        <v>2921.16</v>
      </c>
      <c r="K32" s="9">
        <f t="shared" si="0"/>
        <v>2482.9859999999999</v>
      </c>
      <c r="L32" t="str">
        <f t="shared" si="1"/>
        <v>RETURNING</v>
      </c>
      <c r="M32" s="9">
        <f t="shared" si="2"/>
        <v>438.17399999999998</v>
      </c>
      <c r="N32" t="str">
        <f>_xlfn.XLOOKUP(B32, 'Task 2'!$E:$E,'Task 2'!$I:$I,"Good",0)</f>
        <v>Good</v>
      </c>
    </row>
    <row r="33" spans="1:14" x14ac:dyDescent="0.25">
      <c r="A33" t="s">
        <v>74</v>
      </c>
      <c r="B33" t="s">
        <v>75</v>
      </c>
      <c r="C33" s="1">
        <v>45916</v>
      </c>
      <c r="D33" t="s">
        <v>18</v>
      </c>
      <c r="E33" t="s">
        <v>19</v>
      </c>
      <c r="F33" s="7">
        <v>372.07</v>
      </c>
      <c r="G33" s="6">
        <v>2</v>
      </c>
      <c r="H33" s="6">
        <v>0.3</v>
      </c>
      <c r="I33" s="1">
        <v>45750</v>
      </c>
      <c r="J33" s="9">
        <f t="shared" si="3"/>
        <v>744.14</v>
      </c>
      <c r="K33" s="9">
        <f t="shared" si="0"/>
        <v>520.89799999999991</v>
      </c>
      <c r="L33" t="str">
        <f t="shared" si="1"/>
        <v>RETURNING</v>
      </c>
      <c r="M33" s="9">
        <f t="shared" si="2"/>
        <v>223.24199999999999</v>
      </c>
      <c r="N33" t="str">
        <f>_xlfn.XLOOKUP(B33, 'Task 2'!$E:$E,'Task 2'!$I:$I,"Good",0)</f>
        <v>High Risk</v>
      </c>
    </row>
    <row r="34" spans="1:14" x14ac:dyDescent="0.25">
      <c r="A34" t="s">
        <v>76</v>
      </c>
      <c r="B34" t="s">
        <v>77</v>
      </c>
      <c r="C34" s="1">
        <v>45925</v>
      </c>
      <c r="D34" t="s">
        <v>8</v>
      </c>
      <c r="E34" t="s">
        <v>9</v>
      </c>
      <c r="F34" s="7">
        <v>349.73</v>
      </c>
      <c r="G34" s="6">
        <v>6</v>
      </c>
      <c r="H34" s="6">
        <v>0.05</v>
      </c>
      <c r="I34" s="1">
        <v>45887</v>
      </c>
      <c r="J34" s="9">
        <f t="shared" si="3"/>
        <v>2098.38</v>
      </c>
      <c r="K34" s="9">
        <f t="shared" si="0"/>
        <v>1993.461</v>
      </c>
      <c r="L34" t="str">
        <f t="shared" si="1"/>
        <v>RETURNING</v>
      </c>
      <c r="M34" s="9">
        <f t="shared" si="2"/>
        <v>104.91900000000001</v>
      </c>
      <c r="N34" t="str">
        <f>_xlfn.XLOOKUP(B34, 'Task 2'!$E:$E,'Task 2'!$I:$I,"Good",0)</f>
        <v>Good</v>
      </c>
    </row>
    <row r="35" spans="1:14" x14ac:dyDescent="0.25">
      <c r="A35" t="s">
        <v>78</v>
      </c>
      <c r="B35" t="s">
        <v>79</v>
      </c>
      <c r="C35" s="1">
        <v>45891</v>
      </c>
      <c r="D35" t="s">
        <v>27</v>
      </c>
      <c r="E35" t="s">
        <v>36</v>
      </c>
      <c r="F35" s="7">
        <v>335.27</v>
      </c>
      <c r="G35" s="6">
        <v>12</v>
      </c>
      <c r="H35" s="6">
        <v>0.3</v>
      </c>
      <c r="I35" s="1">
        <v>45836</v>
      </c>
      <c r="J35" s="9">
        <f t="shared" si="3"/>
        <v>4023.24</v>
      </c>
      <c r="K35" s="9">
        <f t="shared" si="0"/>
        <v>2816.2679999999996</v>
      </c>
      <c r="L35" t="str">
        <f t="shared" si="1"/>
        <v>RETURNING</v>
      </c>
      <c r="M35" s="9">
        <f t="shared" si="2"/>
        <v>1206.972</v>
      </c>
      <c r="N35" t="str">
        <f>_xlfn.XLOOKUP(B35, 'Task 2'!$E:$E,'Task 2'!$I:$I,"Good",0)</f>
        <v>High Risk</v>
      </c>
    </row>
    <row r="36" spans="1:14" x14ac:dyDescent="0.25">
      <c r="A36" t="s">
        <v>80</v>
      </c>
      <c r="B36" t="s">
        <v>21</v>
      </c>
      <c r="C36" s="1">
        <v>45850</v>
      </c>
      <c r="D36" t="s">
        <v>27</v>
      </c>
      <c r="E36" t="s">
        <v>9</v>
      </c>
      <c r="F36" s="7">
        <v>235.16</v>
      </c>
      <c r="G36" s="6">
        <v>4</v>
      </c>
      <c r="H36" s="6">
        <v>0.2</v>
      </c>
      <c r="I36" s="1">
        <v>45808</v>
      </c>
      <c r="J36" s="9">
        <f t="shared" si="3"/>
        <v>940.64</v>
      </c>
      <c r="K36" s="9">
        <f t="shared" si="0"/>
        <v>752.51200000000006</v>
      </c>
      <c r="L36" t="str">
        <f t="shared" si="1"/>
        <v>RETURNING</v>
      </c>
      <c r="M36" s="9">
        <f t="shared" si="2"/>
        <v>188.12800000000001</v>
      </c>
      <c r="N36" t="str">
        <f>_xlfn.XLOOKUP(B36, 'Task 2'!$E:$E,'Task 2'!$I:$I,"Good",0)</f>
        <v>Good</v>
      </c>
    </row>
    <row r="37" spans="1:14" x14ac:dyDescent="0.25">
      <c r="A37" t="s">
        <v>81</v>
      </c>
      <c r="B37" t="s">
        <v>82</v>
      </c>
      <c r="C37" s="1">
        <v>45673</v>
      </c>
      <c r="D37" t="s">
        <v>18</v>
      </c>
      <c r="E37" t="s">
        <v>13</v>
      </c>
      <c r="F37" s="7">
        <v>253.64</v>
      </c>
      <c r="G37" s="6">
        <v>10</v>
      </c>
      <c r="H37" s="6">
        <v>0.15</v>
      </c>
      <c r="I37" s="1">
        <v>45671</v>
      </c>
      <c r="J37" s="9">
        <f t="shared" si="3"/>
        <v>2536.3999999999996</v>
      </c>
      <c r="K37" s="9">
        <f t="shared" si="0"/>
        <v>2155.9399999999996</v>
      </c>
      <c r="L37" t="str">
        <f t="shared" si="1"/>
        <v>NEW</v>
      </c>
      <c r="M37" s="9">
        <f t="shared" si="2"/>
        <v>380.45999999999992</v>
      </c>
      <c r="N37" t="str">
        <f>_xlfn.XLOOKUP(B37, 'Task 2'!$E:$E,'Task 2'!$I:$I,"Good",0)</f>
        <v>Good</v>
      </c>
    </row>
    <row r="38" spans="1:14" x14ac:dyDescent="0.25">
      <c r="A38" t="s">
        <v>83</v>
      </c>
      <c r="B38" t="s">
        <v>84</v>
      </c>
      <c r="C38" s="1">
        <v>45721</v>
      </c>
      <c r="D38" t="s">
        <v>27</v>
      </c>
      <c r="E38" t="s">
        <v>36</v>
      </c>
      <c r="F38" s="7">
        <v>75.39</v>
      </c>
      <c r="G38" s="6">
        <v>9</v>
      </c>
      <c r="H38" s="6">
        <v>0</v>
      </c>
      <c r="I38" s="1">
        <v>45670</v>
      </c>
      <c r="J38" s="9">
        <f t="shared" si="3"/>
        <v>678.51</v>
      </c>
      <c r="K38" s="9">
        <f t="shared" si="0"/>
        <v>678.51</v>
      </c>
      <c r="L38" t="str">
        <f t="shared" si="1"/>
        <v>RETURNING</v>
      </c>
      <c r="M38" s="9">
        <f t="shared" si="2"/>
        <v>0</v>
      </c>
      <c r="N38" t="str">
        <f>_xlfn.XLOOKUP(B38, 'Task 2'!$E:$E,'Task 2'!$I:$I,"Good",0)</f>
        <v>Good</v>
      </c>
    </row>
    <row r="39" spans="1:14" x14ac:dyDescent="0.25">
      <c r="A39" t="s">
        <v>85</v>
      </c>
      <c r="B39" t="s">
        <v>86</v>
      </c>
      <c r="C39" s="1">
        <v>45709</v>
      </c>
      <c r="D39" t="s">
        <v>27</v>
      </c>
      <c r="E39" t="s">
        <v>19</v>
      </c>
      <c r="F39" s="7">
        <v>166.76</v>
      </c>
      <c r="G39" s="6">
        <v>1</v>
      </c>
      <c r="H39" s="6">
        <v>0.2</v>
      </c>
      <c r="I39" s="1">
        <v>45669</v>
      </c>
      <c r="J39" s="9">
        <f t="shared" si="3"/>
        <v>166.76</v>
      </c>
      <c r="K39" s="9">
        <f t="shared" si="0"/>
        <v>133.40799999999999</v>
      </c>
      <c r="L39" t="str">
        <f t="shared" si="1"/>
        <v>RETURNING</v>
      </c>
      <c r="M39" s="9">
        <f t="shared" si="2"/>
        <v>33.351999999999997</v>
      </c>
      <c r="N39" t="str">
        <f>_xlfn.XLOOKUP(B39, 'Task 2'!$E:$E,'Task 2'!$I:$I,"Good",0)</f>
        <v>Good</v>
      </c>
    </row>
    <row r="40" spans="1:14" x14ac:dyDescent="0.25">
      <c r="A40" t="s">
        <v>87</v>
      </c>
      <c r="B40" t="s">
        <v>88</v>
      </c>
      <c r="C40" s="1">
        <v>45828</v>
      </c>
      <c r="D40" t="s">
        <v>12</v>
      </c>
      <c r="E40" t="s">
        <v>19</v>
      </c>
      <c r="F40" s="7">
        <v>423.18</v>
      </c>
      <c r="G40" s="6">
        <v>12</v>
      </c>
      <c r="H40" s="6">
        <v>0.1</v>
      </c>
      <c r="I40" s="1">
        <v>45805</v>
      </c>
      <c r="J40" s="9">
        <f t="shared" si="3"/>
        <v>5078.16</v>
      </c>
      <c r="K40" s="9">
        <f t="shared" si="0"/>
        <v>4570.3440000000001</v>
      </c>
      <c r="L40" t="str">
        <f t="shared" si="1"/>
        <v>NEW</v>
      </c>
      <c r="M40" s="9">
        <f t="shared" si="2"/>
        <v>507.81600000000003</v>
      </c>
      <c r="N40" t="str">
        <f>_xlfn.XLOOKUP(B40, 'Task 2'!$E:$E,'Task 2'!$I:$I,"Good",0)</f>
        <v>Good</v>
      </c>
    </row>
    <row r="41" spans="1:14" x14ac:dyDescent="0.25">
      <c r="A41" t="s">
        <v>89</v>
      </c>
      <c r="B41" t="s">
        <v>90</v>
      </c>
      <c r="C41" s="1">
        <v>45875</v>
      </c>
      <c r="D41" t="s">
        <v>27</v>
      </c>
      <c r="E41" t="s">
        <v>22</v>
      </c>
      <c r="F41" s="7">
        <v>381.2</v>
      </c>
      <c r="G41" s="6">
        <v>8</v>
      </c>
      <c r="H41" s="6">
        <v>0.1</v>
      </c>
      <c r="I41" s="1">
        <v>45758</v>
      </c>
      <c r="J41" s="9">
        <f t="shared" si="3"/>
        <v>3049.6</v>
      </c>
      <c r="K41" s="9">
        <f t="shared" si="0"/>
        <v>2744.64</v>
      </c>
      <c r="L41" t="str">
        <f t="shared" si="1"/>
        <v>RETURNING</v>
      </c>
      <c r="M41" s="9">
        <f t="shared" si="2"/>
        <v>304.95999999999998</v>
      </c>
      <c r="N41" t="str">
        <f>_xlfn.XLOOKUP(B41, 'Task 2'!$E:$E,'Task 2'!$I:$I,"Good",0)</f>
        <v>Good</v>
      </c>
    </row>
    <row r="42" spans="1:14" x14ac:dyDescent="0.25">
      <c r="A42" t="s">
        <v>91</v>
      </c>
      <c r="B42" t="s">
        <v>70</v>
      </c>
      <c r="C42" s="1">
        <v>45793</v>
      </c>
      <c r="D42" t="s">
        <v>18</v>
      </c>
      <c r="E42" t="s">
        <v>19</v>
      </c>
      <c r="F42" s="7">
        <v>86.46</v>
      </c>
      <c r="G42" s="6">
        <v>5</v>
      </c>
      <c r="H42" s="6">
        <v>0.1</v>
      </c>
      <c r="I42" s="1">
        <v>45783</v>
      </c>
      <c r="J42" s="9">
        <f t="shared" si="3"/>
        <v>432.29999999999995</v>
      </c>
      <c r="K42" s="9">
        <f t="shared" si="0"/>
        <v>389.07</v>
      </c>
      <c r="L42" t="str">
        <f t="shared" si="1"/>
        <v>NEW</v>
      </c>
      <c r="M42" s="9">
        <f t="shared" si="2"/>
        <v>43.23</v>
      </c>
      <c r="N42" t="str">
        <f>_xlfn.XLOOKUP(B42, 'Task 2'!$E:$E,'Task 2'!$I:$I,"Good",0)</f>
        <v>Good</v>
      </c>
    </row>
    <row r="43" spans="1:14" x14ac:dyDescent="0.25">
      <c r="A43" t="s">
        <v>92</v>
      </c>
      <c r="B43" t="s">
        <v>93</v>
      </c>
      <c r="C43" s="1">
        <v>45766</v>
      </c>
      <c r="D43" t="s">
        <v>27</v>
      </c>
      <c r="E43" t="s">
        <v>36</v>
      </c>
      <c r="F43" s="7">
        <v>396.58</v>
      </c>
      <c r="G43" s="6">
        <v>9</v>
      </c>
      <c r="H43" s="6">
        <v>0.05</v>
      </c>
      <c r="I43" s="1">
        <v>45733</v>
      </c>
      <c r="J43" s="9">
        <f t="shared" si="3"/>
        <v>3569.22</v>
      </c>
      <c r="K43" s="9">
        <f t="shared" si="0"/>
        <v>3390.7589999999996</v>
      </c>
      <c r="L43" t="str">
        <f t="shared" si="1"/>
        <v>RETURNING</v>
      </c>
      <c r="M43" s="9">
        <f t="shared" si="2"/>
        <v>178.46100000000001</v>
      </c>
      <c r="N43" t="str">
        <f>_xlfn.XLOOKUP(B43, 'Task 2'!$E:$E,'Task 2'!$I:$I,"Good",0)</f>
        <v>Good</v>
      </c>
    </row>
    <row r="44" spans="1:14" x14ac:dyDescent="0.25">
      <c r="A44" t="s">
        <v>94</v>
      </c>
      <c r="B44" t="s">
        <v>95</v>
      </c>
      <c r="C44" s="1">
        <v>45689</v>
      </c>
      <c r="D44" t="s">
        <v>27</v>
      </c>
      <c r="E44" t="s">
        <v>19</v>
      </c>
      <c r="F44" s="7">
        <v>286.48</v>
      </c>
      <c r="G44" s="6">
        <v>1</v>
      </c>
      <c r="H44" s="6">
        <v>0.3</v>
      </c>
      <c r="I44" s="1">
        <v>45662</v>
      </c>
      <c r="J44" s="9">
        <f t="shared" si="3"/>
        <v>286.48</v>
      </c>
      <c r="K44" s="9">
        <f t="shared" si="0"/>
        <v>200.536</v>
      </c>
      <c r="L44" t="str">
        <f t="shared" si="1"/>
        <v>NEW</v>
      </c>
      <c r="M44" s="9">
        <f t="shared" si="2"/>
        <v>85.944000000000003</v>
      </c>
      <c r="N44" t="str">
        <f>_xlfn.XLOOKUP(B44, 'Task 2'!$E:$E,'Task 2'!$I:$I,"Good",0)</f>
        <v>Good</v>
      </c>
    </row>
    <row r="45" spans="1:14" x14ac:dyDescent="0.25">
      <c r="A45" t="s">
        <v>96</v>
      </c>
      <c r="B45" t="s">
        <v>97</v>
      </c>
      <c r="C45" s="1">
        <v>45689</v>
      </c>
      <c r="D45" t="s">
        <v>12</v>
      </c>
      <c r="E45" t="s">
        <v>36</v>
      </c>
      <c r="F45" s="7">
        <v>406.31</v>
      </c>
      <c r="G45" s="6">
        <v>7</v>
      </c>
      <c r="H45" s="6">
        <v>0.05</v>
      </c>
      <c r="I45" s="1">
        <v>45658</v>
      </c>
      <c r="J45" s="9">
        <f t="shared" si="3"/>
        <v>2844.17</v>
      </c>
      <c r="K45" s="9">
        <f t="shared" si="0"/>
        <v>2701.9614999999999</v>
      </c>
      <c r="L45" t="str">
        <f t="shared" si="1"/>
        <v>RETURNING</v>
      </c>
      <c r="M45" s="9">
        <f t="shared" si="2"/>
        <v>142.20850000000002</v>
      </c>
      <c r="N45" t="str">
        <f>_xlfn.XLOOKUP(B45, 'Task 2'!$E:$E,'Task 2'!$I:$I,"Good",0)</f>
        <v>Good</v>
      </c>
    </row>
    <row r="46" spans="1:14" x14ac:dyDescent="0.25">
      <c r="A46" t="s">
        <v>98</v>
      </c>
      <c r="B46" t="s">
        <v>99</v>
      </c>
      <c r="C46" s="1">
        <v>45918</v>
      </c>
      <c r="D46" t="s">
        <v>8</v>
      </c>
      <c r="E46" t="s">
        <v>19</v>
      </c>
      <c r="F46" s="7">
        <v>202.71</v>
      </c>
      <c r="G46" s="6">
        <v>3</v>
      </c>
      <c r="H46" s="6">
        <v>0.3</v>
      </c>
      <c r="I46" s="1">
        <v>45907</v>
      </c>
      <c r="J46" s="9">
        <f t="shared" si="3"/>
        <v>608.13</v>
      </c>
      <c r="K46" s="9">
        <f t="shared" si="0"/>
        <v>425.69099999999997</v>
      </c>
      <c r="L46" t="str">
        <f t="shared" si="1"/>
        <v>NEW</v>
      </c>
      <c r="M46" s="9">
        <f t="shared" si="2"/>
        <v>182.43899999999999</v>
      </c>
      <c r="N46" t="str">
        <f>_xlfn.XLOOKUP(B46, 'Task 2'!$E:$E,'Task 2'!$I:$I,"Good",0)</f>
        <v>High Risk</v>
      </c>
    </row>
    <row r="47" spans="1:14" x14ac:dyDescent="0.25">
      <c r="A47" t="s">
        <v>100</v>
      </c>
      <c r="B47" t="s">
        <v>101</v>
      </c>
      <c r="C47" s="1">
        <v>45774</v>
      </c>
      <c r="D47" t="s">
        <v>27</v>
      </c>
      <c r="E47" t="s">
        <v>22</v>
      </c>
      <c r="F47" s="7">
        <v>360.4</v>
      </c>
      <c r="G47" s="6">
        <v>13</v>
      </c>
      <c r="H47" s="6">
        <v>0</v>
      </c>
      <c r="I47" s="1">
        <v>45756</v>
      </c>
      <c r="J47" s="9">
        <f t="shared" si="3"/>
        <v>4685.2</v>
      </c>
      <c r="K47" s="9">
        <f t="shared" si="0"/>
        <v>4685.2</v>
      </c>
      <c r="L47" t="str">
        <f t="shared" si="1"/>
        <v>NEW</v>
      </c>
      <c r="M47" s="9">
        <f t="shared" si="2"/>
        <v>0</v>
      </c>
      <c r="N47" t="str">
        <f>_xlfn.XLOOKUP(B47, 'Task 2'!$E:$E,'Task 2'!$I:$I,"Good",0)</f>
        <v>Good</v>
      </c>
    </row>
    <row r="48" spans="1:14" x14ac:dyDescent="0.25">
      <c r="A48" t="s">
        <v>102</v>
      </c>
      <c r="B48" t="s">
        <v>63</v>
      </c>
      <c r="C48" s="1">
        <v>45836</v>
      </c>
      <c r="D48" t="s">
        <v>12</v>
      </c>
      <c r="E48" t="s">
        <v>36</v>
      </c>
      <c r="F48" s="7">
        <v>150.6</v>
      </c>
      <c r="G48" s="6">
        <v>5</v>
      </c>
      <c r="H48" s="6">
        <v>0.1</v>
      </c>
      <c r="I48" s="1">
        <v>45798</v>
      </c>
      <c r="J48" s="9">
        <f t="shared" si="3"/>
        <v>753</v>
      </c>
      <c r="K48" s="9">
        <f t="shared" si="0"/>
        <v>677.7</v>
      </c>
      <c r="L48" t="str">
        <f t="shared" si="1"/>
        <v>RETURNING</v>
      </c>
      <c r="M48" s="9">
        <f t="shared" si="2"/>
        <v>75.3</v>
      </c>
      <c r="N48" t="str">
        <f>_xlfn.XLOOKUP(B48, 'Task 2'!$E:$E,'Task 2'!$I:$I,"Good",0)</f>
        <v>Good</v>
      </c>
    </row>
    <row r="49" spans="1:14" x14ac:dyDescent="0.25">
      <c r="A49" t="s">
        <v>103</v>
      </c>
      <c r="B49" t="s">
        <v>104</v>
      </c>
      <c r="C49" s="1">
        <v>45740</v>
      </c>
      <c r="D49" t="s">
        <v>18</v>
      </c>
      <c r="E49" t="s">
        <v>13</v>
      </c>
      <c r="F49" s="7">
        <v>346.67</v>
      </c>
      <c r="G49" s="6">
        <v>11</v>
      </c>
      <c r="H49" s="6">
        <v>0.05</v>
      </c>
      <c r="I49" s="1">
        <v>45739</v>
      </c>
      <c r="J49" s="9">
        <f t="shared" si="3"/>
        <v>3813.3700000000003</v>
      </c>
      <c r="K49" s="9">
        <f t="shared" si="0"/>
        <v>3622.7015000000001</v>
      </c>
      <c r="L49" t="str">
        <f t="shared" si="1"/>
        <v>NEW</v>
      </c>
      <c r="M49" s="9">
        <f t="shared" si="2"/>
        <v>190.66850000000002</v>
      </c>
      <c r="N49" t="str">
        <f>_xlfn.XLOOKUP(B49, 'Task 2'!$E:$E,'Task 2'!$I:$I,"Good",0)</f>
        <v>Good</v>
      </c>
    </row>
    <row r="50" spans="1:14" x14ac:dyDescent="0.25">
      <c r="A50" t="s">
        <v>105</v>
      </c>
      <c r="B50" t="s">
        <v>79</v>
      </c>
      <c r="C50" s="1">
        <v>45913</v>
      </c>
      <c r="D50" t="s">
        <v>8</v>
      </c>
      <c r="E50" t="s">
        <v>22</v>
      </c>
      <c r="F50" s="7">
        <v>213.8</v>
      </c>
      <c r="G50" s="6">
        <v>4</v>
      </c>
      <c r="H50" s="6">
        <v>0.3</v>
      </c>
      <c r="I50" s="1">
        <v>45836</v>
      </c>
      <c r="J50" s="9">
        <f t="shared" si="3"/>
        <v>855.2</v>
      </c>
      <c r="K50" s="9">
        <f t="shared" si="0"/>
        <v>598.64</v>
      </c>
      <c r="L50" t="str">
        <f t="shared" si="1"/>
        <v>RETURNING</v>
      </c>
      <c r="M50" s="9">
        <f t="shared" si="2"/>
        <v>256.56</v>
      </c>
      <c r="N50" t="str">
        <f>_xlfn.XLOOKUP(B50, 'Task 2'!$E:$E,'Task 2'!$I:$I,"Good",0)</f>
        <v>High Risk</v>
      </c>
    </row>
    <row r="51" spans="1:14" x14ac:dyDescent="0.25">
      <c r="A51" t="s">
        <v>106</v>
      </c>
      <c r="B51" t="s">
        <v>107</v>
      </c>
      <c r="C51" s="1">
        <v>45874</v>
      </c>
      <c r="D51" t="s">
        <v>12</v>
      </c>
      <c r="E51" t="s">
        <v>22</v>
      </c>
      <c r="F51" s="7">
        <v>329.18</v>
      </c>
      <c r="G51" s="6">
        <v>2</v>
      </c>
      <c r="H51" s="6">
        <v>0.1</v>
      </c>
      <c r="I51" s="1">
        <v>45840</v>
      </c>
      <c r="J51" s="9">
        <f t="shared" si="3"/>
        <v>658.36</v>
      </c>
      <c r="K51" s="9">
        <f t="shared" si="0"/>
        <v>592.524</v>
      </c>
      <c r="L51" t="str">
        <f t="shared" si="1"/>
        <v>RETURNING</v>
      </c>
      <c r="M51" s="9">
        <f t="shared" si="2"/>
        <v>65.835999999999999</v>
      </c>
      <c r="N51" t="str">
        <f>_xlfn.XLOOKUP(B51, 'Task 2'!$E:$E,'Task 2'!$I:$I,"Good",0)</f>
        <v>Good</v>
      </c>
    </row>
    <row r="52" spans="1:14" x14ac:dyDescent="0.25">
      <c r="A52" t="s">
        <v>108</v>
      </c>
      <c r="B52" t="s">
        <v>24</v>
      </c>
      <c r="C52" s="1">
        <v>45920</v>
      </c>
      <c r="D52" t="s">
        <v>27</v>
      </c>
      <c r="E52" t="s">
        <v>22</v>
      </c>
      <c r="F52" s="7">
        <v>326.54000000000002</v>
      </c>
      <c r="G52" s="6">
        <v>11</v>
      </c>
      <c r="H52" s="6">
        <v>0.2</v>
      </c>
      <c r="I52" s="1">
        <v>45879</v>
      </c>
      <c r="J52" s="9">
        <f t="shared" si="3"/>
        <v>3591.94</v>
      </c>
      <c r="K52" s="9">
        <f t="shared" si="0"/>
        <v>2873.5520000000001</v>
      </c>
      <c r="L52" t="str">
        <f t="shared" si="1"/>
        <v>RETURNING</v>
      </c>
      <c r="M52" s="9">
        <f t="shared" si="2"/>
        <v>718.38800000000003</v>
      </c>
      <c r="N52" t="str">
        <f>_xlfn.XLOOKUP(B52, 'Task 2'!$E:$E,'Task 2'!$I:$I,"Good",0)</f>
        <v>Good</v>
      </c>
    </row>
    <row r="53" spans="1:14" x14ac:dyDescent="0.25">
      <c r="A53" t="s">
        <v>109</v>
      </c>
      <c r="B53" t="s">
        <v>110</v>
      </c>
      <c r="C53" s="1">
        <v>45765</v>
      </c>
      <c r="D53" t="s">
        <v>18</v>
      </c>
      <c r="E53" t="s">
        <v>13</v>
      </c>
      <c r="F53" s="7">
        <v>427.07</v>
      </c>
      <c r="G53" s="6">
        <v>12</v>
      </c>
      <c r="H53" s="6">
        <v>0.05</v>
      </c>
      <c r="I53" s="1">
        <v>45756</v>
      </c>
      <c r="J53" s="9">
        <f t="shared" si="3"/>
        <v>5124.84</v>
      </c>
      <c r="K53" s="9">
        <f t="shared" si="0"/>
        <v>4868.598</v>
      </c>
      <c r="L53" t="str">
        <f t="shared" si="1"/>
        <v>NEW</v>
      </c>
      <c r="M53" s="9">
        <f t="shared" si="2"/>
        <v>256.24200000000002</v>
      </c>
      <c r="N53" t="str">
        <f>_xlfn.XLOOKUP(B53, 'Task 2'!$E:$E,'Task 2'!$I:$I,"Good",0)</f>
        <v>Good</v>
      </c>
    </row>
    <row r="54" spans="1:14" x14ac:dyDescent="0.25">
      <c r="A54" t="s">
        <v>111</v>
      </c>
      <c r="B54" t="s">
        <v>112</v>
      </c>
      <c r="C54" s="1">
        <v>45880</v>
      </c>
      <c r="D54" t="s">
        <v>18</v>
      </c>
      <c r="E54" t="s">
        <v>36</v>
      </c>
      <c r="F54" s="7">
        <v>126.37</v>
      </c>
      <c r="G54" s="6">
        <v>8</v>
      </c>
      <c r="H54" s="6">
        <v>0.15</v>
      </c>
      <c r="I54" s="1">
        <v>45874</v>
      </c>
      <c r="J54" s="9">
        <f t="shared" si="3"/>
        <v>1010.96</v>
      </c>
      <c r="K54" s="9">
        <f t="shared" si="0"/>
        <v>859.31600000000003</v>
      </c>
      <c r="L54" t="str">
        <f t="shared" si="1"/>
        <v>NEW</v>
      </c>
      <c r="M54" s="9">
        <f t="shared" si="2"/>
        <v>151.64400000000001</v>
      </c>
      <c r="N54" t="str">
        <f>_xlfn.XLOOKUP(B54, 'Task 2'!$E:$E,'Task 2'!$I:$I,"Good",0)</f>
        <v>Good</v>
      </c>
    </row>
    <row r="55" spans="1:14" x14ac:dyDescent="0.25">
      <c r="A55" t="s">
        <v>113</v>
      </c>
      <c r="B55" t="s">
        <v>114</v>
      </c>
      <c r="C55" s="1">
        <v>45854</v>
      </c>
      <c r="D55" t="s">
        <v>27</v>
      </c>
      <c r="E55" t="s">
        <v>22</v>
      </c>
      <c r="F55" s="7">
        <v>358.69</v>
      </c>
      <c r="G55" s="6">
        <v>5</v>
      </c>
      <c r="H55" s="6">
        <v>0.3</v>
      </c>
      <c r="I55" s="1">
        <v>45733</v>
      </c>
      <c r="J55" s="9">
        <f t="shared" si="3"/>
        <v>1793.45</v>
      </c>
      <c r="K55" s="9">
        <f t="shared" si="0"/>
        <v>1255.415</v>
      </c>
      <c r="L55" t="str">
        <f t="shared" si="1"/>
        <v>RETURNING</v>
      </c>
      <c r="M55" s="9">
        <f t="shared" si="2"/>
        <v>538.03499999999997</v>
      </c>
      <c r="N55" t="str">
        <f>_xlfn.XLOOKUP(B55, 'Task 2'!$E:$E,'Task 2'!$I:$I,"Good",0)</f>
        <v>High Risk</v>
      </c>
    </row>
    <row r="56" spans="1:14" x14ac:dyDescent="0.25">
      <c r="A56" t="s">
        <v>115</v>
      </c>
      <c r="B56" t="s">
        <v>116</v>
      </c>
      <c r="C56" s="1">
        <v>45819</v>
      </c>
      <c r="D56" t="s">
        <v>8</v>
      </c>
      <c r="E56" t="s">
        <v>13</v>
      </c>
      <c r="F56" s="7">
        <v>44.98</v>
      </c>
      <c r="G56" s="6">
        <v>3</v>
      </c>
      <c r="H56" s="6">
        <v>0.2</v>
      </c>
      <c r="I56" s="1">
        <v>45753</v>
      </c>
      <c r="J56" s="9">
        <f t="shared" si="3"/>
        <v>134.94</v>
      </c>
      <c r="K56" s="9">
        <f t="shared" si="0"/>
        <v>107.952</v>
      </c>
      <c r="L56" t="str">
        <f t="shared" si="1"/>
        <v>RETURNING</v>
      </c>
      <c r="M56" s="9">
        <f t="shared" si="2"/>
        <v>26.988</v>
      </c>
      <c r="N56" t="str">
        <f>_xlfn.XLOOKUP(B56, 'Task 2'!$E:$E,'Task 2'!$I:$I,"Good",0)</f>
        <v>Good</v>
      </c>
    </row>
    <row r="57" spans="1:14" x14ac:dyDescent="0.25">
      <c r="A57" t="s">
        <v>117</v>
      </c>
      <c r="B57" t="s">
        <v>95</v>
      </c>
      <c r="C57" s="1">
        <v>45744</v>
      </c>
      <c r="D57" t="s">
        <v>8</v>
      </c>
      <c r="E57" t="s">
        <v>36</v>
      </c>
      <c r="F57" s="7">
        <v>64.260000000000005</v>
      </c>
      <c r="G57" s="6">
        <v>5</v>
      </c>
      <c r="H57" s="6">
        <v>0.05</v>
      </c>
      <c r="I57" s="1">
        <v>45662</v>
      </c>
      <c r="J57" s="9">
        <f t="shared" si="3"/>
        <v>321.3</v>
      </c>
      <c r="K57" s="9">
        <f t="shared" si="0"/>
        <v>305.23500000000001</v>
      </c>
      <c r="L57" t="str">
        <f t="shared" si="1"/>
        <v>RETURNING</v>
      </c>
      <c r="M57" s="9">
        <f t="shared" si="2"/>
        <v>16.065000000000001</v>
      </c>
      <c r="N57" t="str">
        <f>_xlfn.XLOOKUP(B57, 'Task 2'!$E:$E,'Task 2'!$I:$I,"Good",0)</f>
        <v>Good</v>
      </c>
    </row>
    <row r="58" spans="1:14" x14ac:dyDescent="0.25">
      <c r="A58" t="s">
        <v>118</v>
      </c>
      <c r="B58" t="s">
        <v>119</v>
      </c>
      <c r="C58" s="1">
        <v>45946</v>
      </c>
      <c r="D58" t="s">
        <v>8</v>
      </c>
      <c r="E58" t="s">
        <v>36</v>
      </c>
      <c r="F58" s="7">
        <v>159.47999999999999</v>
      </c>
      <c r="G58" s="6">
        <v>6</v>
      </c>
      <c r="H58" s="6">
        <v>0.3</v>
      </c>
      <c r="I58" s="1">
        <v>45937</v>
      </c>
      <c r="J58" s="9">
        <f t="shared" si="3"/>
        <v>956.87999999999988</v>
      </c>
      <c r="K58" s="9">
        <f t="shared" si="0"/>
        <v>669.81599999999992</v>
      </c>
      <c r="L58" t="str">
        <f t="shared" si="1"/>
        <v>NEW</v>
      </c>
      <c r="M58" s="9">
        <f t="shared" si="2"/>
        <v>287.06399999999996</v>
      </c>
      <c r="N58" t="str">
        <f>_xlfn.XLOOKUP(B58, 'Task 2'!$E:$E,'Task 2'!$I:$I,"Good",0)</f>
        <v>High Risk</v>
      </c>
    </row>
    <row r="59" spans="1:14" x14ac:dyDescent="0.25">
      <c r="A59" t="s">
        <v>120</v>
      </c>
      <c r="B59" t="s">
        <v>121</v>
      </c>
      <c r="C59" s="1">
        <v>45714</v>
      </c>
      <c r="D59" t="s">
        <v>12</v>
      </c>
      <c r="E59" t="s">
        <v>36</v>
      </c>
      <c r="F59" s="7">
        <v>104.43</v>
      </c>
      <c r="G59" s="6">
        <v>9</v>
      </c>
      <c r="H59" s="6">
        <v>0.2</v>
      </c>
      <c r="I59" s="1">
        <v>45693</v>
      </c>
      <c r="J59" s="9">
        <f t="shared" si="3"/>
        <v>939.87000000000012</v>
      </c>
      <c r="K59" s="9">
        <f t="shared" si="0"/>
        <v>751.89600000000019</v>
      </c>
      <c r="L59" t="str">
        <f t="shared" si="1"/>
        <v>NEW</v>
      </c>
      <c r="M59" s="9">
        <f t="shared" si="2"/>
        <v>187.97400000000005</v>
      </c>
      <c r="N59" t="str">
        <f>_xlfn.XLOOKUP(B59, 'Task 2'!$E:$E,'Task 2'!$I:$I,"Good",0)</f>
        <v>Good</v>
      </c>
    </row>
    <row r="60" spans="1:14" x14ac:dyDescent="0.25">
      <c r="A60" t="s">
        <v>122</v>
      </c>
      <c r="B60" t="s">
        <v>57</v>
      </c>
      <c r="C60" s="1">
        <v>45899</v>
      </c>
      <c r="D60" t="s">
        <v>8</v>
      </c>
      <c r="E60" t="s">
        <v>22</v>
      </c>
      <c r="F60" s="7">
        <v>248.77</v>
      </c>
      <c r="G60" s="6">
        <v>11</v>
      </c>
      <c r="H60" s="6">
        <v>0.25</v>
      </c>
      <c r="I60" s="1">
        <v>45881</v>
      </c>
      <c r="J60" s="9">
        <f t="shared" si="3"/>
        <v>2736.4700000000003</v>
      </c>
      <c r="K60" s="9">
        <f t="shared" si="0"/>
        <v>2052.3525</v>
      </c>
      <c r="L60" t="str">
        <f t="shared" si="1"/>
        <v>NEW</v>
      </c>
      <c r="M60" s="9">
        <f t="shared" si="2"/>
        <v>684.11750000000006</v>
      </c>
      <c r="N60" t="str">
        <f>_xlfn.XLOOKUP(B60, 'Task 2'!$E:$E,'Task 2'!$I:$I,"Good",0)</f>
        <v>Good</v>
      </c>
    </row>
    <row r="61" spans="1:14" x14ac:dyDescent="0.25">
      <c r="A61" t="s">
        <v>123</v>
      </c>
      <c r="B61" t="s">
        <v>124</v>
      </c>
      <c r="C61" s="1">
        <v>45808</v>
      </c>
      <c r="D61" t="s">
        <v>8</v>
      </c>
      <c r="E61" t="s">
        <v>36</v>
      </c>
      <c r="F61" s="7">
        <v>270.37</v>
      </c>
      <c r="G61" s="6">
        <v>11</v>
      </c>
      <c r="H61" s="6">
        <v>0.15</v>
      </c>
      <c r="I61" s="1">
        <v>45779</v>
      </c>
      <c r="J61" s="9">
        <f t="shared" si="3"/>
        <v>2974.07</v>
      </c>
      <c r="K61" s="9">
        <f t="shared" si="0"/>
        <v>2527.9594999999999</v>
      </c>
      <c r="L61" t="str">
        <f t="shared" si="1"/>
        <v>NEW</v>
      </c>
      <c r="M61" s="9">
        <f t="shared" si="2"/>
        <v>446.1105</v>
      </c>
      <c r="N61" t="str">
        <f>_xlfn.XLOOKUP(B61, 'Task 2'!$E:$E,'Task 2'!$I:$I,"Good",0)</f>
        <v>Good</v>
      </c>
    </row>
    <row r="62" spans="1:14" x14ac:dyDescent="0.25">
      <c r="A62" t="s">
        <v>125</v>
      </c>
      <c r="B62" t="s">
        <v>126</v>
      </c>
      <c r="C62" s="1">
        <v>45915</v>
      </c>
      <c r="D62" t="s">
        <v>27</v>
      </c>
      <c r="E62" t="s">
        <v>36</v>
      </c>
      <c r="F62" s="7">
        <v>231.79</v>
      </c>
      <c r="G62" s="6">
        <v>6</v>
      </c>
      <c r="H62" s="6">
        <v>0.2</v>
      </c>
      <c r="I62" s="1">
        <v>45909</v>
      </c>
      <c r="J62" s="9">
        <f t="shared" si="3"/>
        <v>1390.74</v>
      </c>
      <c r="K62" s="9">
        <f t="shared" si="0"/>
        <v>1112.5920000000001</v>
      </c>
      <c r="L62" t="str">
        <f t="shared" si="1"/>
        <v>NEW</v>
      </c>
      <c r="M62" s="9">
        <f t="shared" si="2"/>
        <v>278.14800000000002</v>
      </c>
      <c r="N62" t="str">
        <f>_xlfn.XLOOKUP(B62, 'Task 2'!$E:$E,'Task 2'!$I:$I,"Good",0)</f>
        <v>Good</v>
      </c>
    </row>
    <row r="63" spans="1:14" x14ac:dyDescent="0.25">
      <c r="A63" t="s">
        <v>127</v>
      </c>
      <c r="B63" t="s">
        <v>128</v>
      </c>
      <c r="C63" s="1">
        <v>45963</v>
      </c>
      <c r="D63" t="s">
        <v>8</v>
      </c>
      <c r="E63" t="s">
        <v>19</v>
      </c>
      <c r="F63" s="7">
        <v>290.02999999999997</v>
      </c>
      <c r="G63" s="6">
        <v>12</v>
      </c>
      <c r="H63" s="6">
        <v>0.05</v>
      </c>
      <c r="I63" s="1">
        <v>45943</v>
      </c>
      <c r="J63" s="9">
        <f t="shared" si="3"/>
        <v>3480.3599999999997</v>
      </c>
      <c r="K63" s="9">
        <f t="shared" si="0"/>
        <v>3306.3419999999996</v>
      </c>
      <c r="L63" t="str">
        <f t="shared" si="1"/>
        <v>NEW</v>
      </c>
      <c r="M63" s="9">
        <f t="shared" si="2"/>
        <v>174.018</v>
      </c>
      <c r="N63" t="str">
        <f>_xlfn.XLOOKUP(B63, 'Task 2'!$E:$E,'Task 2'!$I:$I,"Good",0)</f>
        <v>Good</v>
      </c>
    </row>
    <row r="64" spans="1:14" x14ac:dyDescent="0.25">
      <c r="A64" t="s">
        <v>129</v>
      </c>
      <c r="B64" t="s">
        <v>130</v>
      </c>
      <c r="C64" s="1">
        <v>45823</v>
      </c>
      <c r="D64" t="s">
        <v>27</v>
      </c>
      <c r="E64" t="s">
        <v>36</v>
      </c>
      <c r="F64" s="7">
        <v>79.67</v>
      </c>
      <c r="G64" s="6">
        <v>6</v>
      </c>
      <c r="H64" s="6">
        <v>0.25</v>
      </c>
      <c r="I64" s="1">
        <v>45815</v>
      </c>
      <c r="J64" s="9">
        <f t="shared" si="3"/>
        <v>478.02</v>
      </c>
      <c r="K64" s="9">
        <f t="shared" si="0"/>
        <v>358.51499999999999</v>
      </c>
      <c r="L64" t="str">
        <f t="shared" si="1"/>
        <v>NEW</v>
      </c>
      <c r="M64" s="9">
        <f t="shared" si="2"/>
        <v>119.505</v>
      </c>
      <c r="N64" t="str">
        <f>_xlfn.XLOOKUP(B64, 'Task 2'!$E:$E,'Task 2'!$I:$I,"Good",0)</f>
        <v>Good</v>
      </c>
    </row>
    <row r="65" spans="1:14" x14ac:dyDescent="0.25">
      <c r="A65" t="s">
        <v>131</v>
      </c>
      <c r="B65" t="s">
        <v>97</v>
      </c>
      <c r="C65" s="1">
        <v>45917</v>
      </c>
      <c r="D65" t="s">
        <v>12</v>
      </c>
      <c r="E65" t="s">
        <v>36</v>
      </c>
      <c r="F65" s="7">
        <v>149.82</v>
      </c>
      <c r="G65" s="6">
        <v>14</v>
      </c>
      <c r="H65" s="6">
        <v>0.3</v>
      </c>
      <c r="I65" s="1">
        <v>45658</v>
      </c>
      <c r="J65" s="9">
        <f t="shared" si="3"/>
        <v>2097.48</v>
      </c>
      <c r="K65" s="9">
        <f t="shared" si="0"/>
        <v>1468.2359999999999</v>
      </c>
      <c r="L65" t="str">
        <f t="shared" si="1"/>
        <v>RETURNING</v>
      </c>
      <c r="M65" s="9">
        <f t="shared" si="2"/>
        <v>629.24400000000003</v>
      </c>
      <c r="N65" t="str">
        <f>_xlfn.XLOOKUP(B65, 'Task 2'!$E:$E,'Task 2'!$I:$I,"Good",0)</f>
        <v>Good</v>
      </c>
    </row>
    <row r="66" spans="1:14" x14ac:dyDescent="0.25">
      <c r="A66" t="s">
        <v>132</v>
      </c>
      <c r="B66" t="s">
        <v>133</v>
      </c>
      <c r="C66" s="1">
        <v>45870</v>
      </c>
      <c r="D66" t="s">
        <v>18</v>
      </c>
      <c r="E66" t="s">
        <v>9</v>
      </c>
      <c r="F66" s="7">
        <v>286.86</v>
      </c>
      <c r="G66" s="6">
        <v>13</v>
      </c>
      <c r="H66" s="6">
        <v>0.25</v>
      </c>
      <c r="I66" s="1">
        <v>45851</v>
      </c>
      <c r="J66" s="9">
        <f t="shared" si="3"/>
        <v>3729.1800000000003</v>
      </c>
      <c r="K66" s="9">
        <f t="shared" si="0"/>
        <v>2796.8850000000002</v>
      </c>
      <c r="L66" t="str">
        <f t="shared" si="1"/>
        <v>NEW</v>
      </c>
      <c r="M66" s="9">
        <f t="shared" si="2"/>
        <v>932.29500000000007</v>
      </c>
      <c r="N66" t="str">
        <f>_xlfn.XLOOKUP(B66, 'Task 2'!$E:$E,'Task 2'!$I:$I,"Good",0)</f>
        <v>Good</v>
      </c>
    </row>
    <row r="67" spans="1:14" x14ac:dyDescent="0.25">
      <c r="A67" t="s">
        <v>134</v>
      </c>
      <c r="B67" t="s">
        <v>135</v>
      </c>
      <c r="C67" s="1">
        <v>45858</v>
      </c>
      <c r="D67" t="s">
        <v>18</v>
      </c>
      <c r="E67" t="s">
        <v>36</v>
      </c>
      <c r="F67" s="7">
        <v>352.35</v>
      </c>
      <c r="G67" s="6">
        <v>2</v>
      </c>
      <c r="H67" s="6">
        <v>0.05</v>
      </c>
      <c r="I67" s="1">
        <v>45821</v>
      </c>
      <c r="J67" s="9">
        <f t="shared" ref="J67:J121" si="4">F67*G67</f>
        <v>704.7</v>
      </c>
      <c r="K67" s="9">
        <f t="shared" ref="K67:K121" si="5">(F67*G67)*(1-H67)</f>
        <v>669.46500000000003</v>
      </c>
      <c r="L67" t="str">
        <f t="shared" ref="L67:L121" si="6">IF(_xlfn.DAYS(C67,I67)&gt;30,"RETURNING","NEW")</f>
        <v>RETURNING</v>
      </c>
      <c r="M67" s="9">
        <f t="shared" ref="M67:M121" si="7">(F67*G67)*H67</f>
        <v>35.235000000000007</v>
      </c>
      <c r="N67" t="str">
        <f>_xlfn.XLOOKUP(B67, 'Task 2'!$E:$E,'Task 2'!$I:$I,"Good",0)</f>
        <v>Good</v>
      </c>
    </row>
    <row r="68" spans="1:14" x14ac:dyDescent="0.25">
      <c r="A68" t="s">
        <v>136</v>
      </c>
      <c r="B68" t="s">
        <v>137</v>
      </c>
      <c r="C68" s="1">
        <v>45840</v>
      </c>
      <c r="D68" t="s">
        <v>18</v>
      </c>
      <c r="E68" t="s">
        <v>19</v>
      </c>
      <c r="F68" s="7">
        <v>82.53</v>
      </c>
      <c r="G68" s="6">
        <v>1</v>
      </c>
      <c r="H68" s="6">
        <v>0.2</v>
      </c>
      <c r="I68" s="1">
        <v>45817</v>
      </c>
      <c r="J68" s="9">
        <f t="shared" si="4"/>
        <v>82.53</v>
      </c>
      <c r="K68" s="9">
        <f t="shared" si="5"/>
        <v>66.024000000000001</v>
      </c>
      <c r="L68" t="str">
        <f t="shared" si="6"/>
        <v>NEW</v>
      </c>
      <c r="M68" s="9">
        <f t="shared" si="7"/>
        <v>16.506</v>
      </c>
      <c r="N68" t="str">
        <f>_xlfn.XLOOKUP(B68, 'Task 2'!$E:$E,'Task 2'!$I:$I,"Good",0)</f>
        <v>Good</v>
      </c>
    </row>
    <row r="69" spans="1:14" x14ac:dyDescent="0.25">
      <c r="A69" t="s">
        <v>138</v>
      </c>
      <c r="B69" t="s">
        <v>139</v>
      </c>
      <c r="C69" s="1">
        <v>45846</v>
      </c>
      <c r="D69" t="s">
        <v>27</v>
      </c>
      <c r="E69" t="s">
        <v>13</v>
      </c>
      <c r="F69" s="7">
        <v>132.77000000000001</v>
      </c>
      <c r="G69" s="6">
        <v>14</v>
      </c>
      <c r="H69" s="6">
        <v>0.05</v>
      </c>
      <c r="I69" s="1">
        <v>45715</v>
      </c>
      <c r="J69" s="9">
        <f t="shared" si="4"/>
        <v>1858.7800000000002</v>
      </c>
      <c r="K69" s="9">
        <f t="shared" si="5"/>
        <v>1765.8410000000001</v>
      </c>
      <c r="L69" t="str">
        <f t="shared" si="6"/>
        <v>RETURNING</v>
      </c>
      <c r="M69" s="9">
        <f t="shared" si="7"/>
        <v>92.939000000000021</v>
      </c>
      <c r="N69" t="str">
        <f>_xlfn.XLOOKUP(B69, 'Task 2'!$E:$E,'Task 2'!$I:$I,"Good",0)</f>
        <v>Good</v>
      </c>
    </row>
    <row r="70" spans="1:14" x14ac:dyDescent="0.25">
      <c r="A70" t="s">
        <v>140</v>
      </c>
      <c r="B70" t="s">
        <v>141</v>
      </c>
      <c r="C70" s="1">
        <v>45924</v>
      </c>
      <c r="D70" t="s">
        <v>27</v>
      </c>
      <c r="E70" t="s">
        <v>13</v>
      </c>
      <c r="F70" s="7">
        <v>392.14</v>
      </c>
      <c r="G70" s="6">
        <v>8</v>
      </c>
      <c r="H70" s="6">
        <v>0</v>
      </c>
      <c r="I70" s="1">
        <v>45751</v>
      </c>
      <c r="J70" s="9">
        <f t="shared" si="4"/>
        <v>3137.12</v>
      </c>
      <c r="K70" s="9">
        <f t="shared" si="5"/>
        <v>3137.12</v>
      </c>
      <c r="L70" t="str">
        <f t="shared" si="6"/>
        <v>RETURNING</v>
      </c>
      <c r="M70" s="9">
        <f t="shared" si="7"/>
        <v>0</v>
      </c>
      <c r="N70" t="str">
        <f>_xlfn.XLOOKUP(B70, 'Task 2'!$E:$E,'Task 2'!$I:$I,"Good",0)</f>
        <v>Good</v>
      </c>
    </row>
    <row r="71" spans="1:14" x14ac:dyDescent="0.25">
      <c r="A71" t="s">
        <v>142</v>
      </c>
      <c r="B71" t="s">
        <v>143</v>
      </c>
      <c r="C71" s="1">
        <v>45819</v>
      </c>
      <c r="D71" t="s">
        <v>8</v>
      </c>
      <c r="E71" t="s">
        <v>19</v>
      </c>
      <c r="F71" s="7">
        <v>234.9</v>
      </c>
      <c r="G71" s="6">
        <v>8</v>
      </c>
      <c r="H71" s="6">
        <v>0.25</v>
      </c>
      <c r="I71" s="1">
        <v>45806</v>
      </c>
      <c r="J71" s="9">
        <f t="shared" si="4"/>
        <v>1879.2</v>
      </c>
      <c r="K71" s="9">
        <f t="shared" si="5"/>
        <v>1409.4</v>
      </c>
      <c r="L71" t="str">
        <f t="shared" si="6"/>
        <v>NEW</v>
      </c>
      <c r="M71" s="9">
        <f t="shared" si="7"/>
        <v>469.8</v>
      </c>
      <c r="N71" t="str">
        <f>_xlfn.XLOOKUP(B71, 'Task 2'!$E:$E,'Task 2'!$I:$I,"Good",0)</f>
        <v>Good</v>
      </c>
    </row>
    <row r="72" spans="1:14" x14ac:dyDescent="0.25">
      <c r="A72" t="s">
        <v>144</v>
      </c>
      <c r="B72" t="s">
        <v>145</v>
      </c>
      <c r="C72" s="1">
        <v>45942</v>
      </c>
      <c r="D72" t="s">
        <v>8</v>
      </c>
      <c r="E72" t="s">
        <v>19</v>
      </c>
      <c r="F72" s="7">
        <v>298.94</v>
      </c>
      <c r="G72" s="6">
        <v>8</v>
      </c>
      <c r="H72" s="6">
        <v>0.05</v>
      </c>
      <c r="I72" s="1">
        <v>45870</v>
      </c>
      <c r="J72" s="9">
        <f t="shared" si="4"/>
        <v>2391.52</v>
      </c>
      <c r="K72" s="9">
        <f t="shared" si="5"/>
        <v>2271.944</v>
      </c>
      <c r="L72" t="str">
        <f t="shared" si="6"/>
        <v>RETURNING</v>
      </c>
      <c r="M72" s="9">
        <f t="shared" si="7"/>
        <v>119.57600000000001</v>
      </c>
      <c r="N72" t="str">
        <f>_xlfn.XLOOKUP(B72, 'Task 2'!$E:$E,'Task 2'!$I:$I,"Good",0)</f>
        <v>Good</v>
      </c>
    </row>
    <row r="73" spans="1:14" x14ac:dyDescent="0.25">
      <c r="A73" t="s">
        <v>146</v>
      </c>
      <c r="B73" t="s">
        <v>147</v>
      </c>
      <c r="C73" s="1">
        <v>45866</v>
      </c>
      <c r="D73" t="s">
        <v>18</v>
      </c>
      <c r="E73" t="s">
        <v>19</v>
      </c>
      <c r="F73" s="7">
        <v>433.75</v>
      </c>
      <c r="G73" s="6">
        <v>4</v>
      </c>
      <c r="H73" s="6">
        <v>0.2</v>
      </c>
      <c r="I73" s="1">
        <v>45854</v>
      </c>
      <c r="J73" s="9">
        <f t="shared" si="4"/>
        <v>1735</v>
      </c>
      <c r="K73" s="9">
        <f t="shared" si="5"/>
        <v>1388</v>
      </c>
      <c r="L73" t="str">
        <f t="shared" si="6"/>
        <v>NEW</v>
      </c>
      <c r="M73" s="9">
        <f t="shared" si="7"/>
        <v>347</v>
      </c>
      <c r="N73" t="str">
        <f>_xlfn.XLOOKUP(B73, 'Task 2'!$E:$E,'Task 2'!$I:$I,"Good",0)</f>
        <v>Good</v>
      </c>
    </row>
    <row r="74" spans="1:14" x14ac:dyDescent="0.25">
      <c r="A74" t="s">
        <v>148</v>
      </c>
      <c r="B74" t="s">
        <v>149</v>
      </c>
      <c r="C74" s="1">
        <v>45887</v>
      </c>
      <c r="D74" t="s">
        <v>8</v>
      </c>
      <c r="E74" t="s">
        <v>13</v>
      </c>
      <c r="F74" s="7">
        <v>20.66</v>
      </c>
      <c r="G74" s="6">
        <v>7</v>
      </c>
      <c r="H74" s="6">
        <v>0</v>
      </c>
      <c r="I74" s="1">
        <v>45877</v>
      </c>
      <c r="J74" s="9">
        <f t="shared" si="4"/>
        <v>144.62</v>
      </c>
      <c r="K74" s="9">
        <f t="shared" si="5"/>
        <v>144.62</v>
      </c>
      <c r="L74" t="str">
        <f t="shared" si="6"/>
        <v>NEW</v>
      </c>
      <c r="M74" s="9">
        <f t="shared" si="7"/>
        <v>0</v>
      </c>
      <c r="N74" t="str">
        <f>_xlfn.XLOOKUP(B74, 'Task 2'!$E:$E,'Task 2'!$I:$I,"Good",0)</f>
        <v>Good</v>
      </c>
    </row>
    <row r="75" spans="1:14" x14ac:dyDescent="0.25">
      <c r="A75" t="s">
        <v>150</v>
      </c>
      <c r="B75" t="s">
        <v>151</v>
      </c>
      <c r="C75" s="1">
        <v>45893</v>
      </c>
      <c r="D75" t="s">
        <v>27</v>
      </c>
      <c r="E75" t="s">
        <v>9</v>
      </c>
      <c r="F75" s="7">
        <v>396.25</v>
      </c>
      <c r="G75" s="6">
        <v>13</v>
      </c>
      <c r="H75" s="6">
        <v>0.15</v>
      </c>
      <c r="I75" s="1">
        <v>45809</v>
      </c>
      <c r="J75" s="9">
        <f t="shared" si="4"/>
        <v>5151.25</v>
      </c>
      <c r="K75" s="9">
        <f t="shared" si="5"/>
        <v>4378.5625</v>
      </c>
      <c r="L75" t="str">
        <f t="shared" si="6"/>
        <v>RETURNING</v>
      </c>
      <c r="M75" s="9">
        <f t="shared" si="7"/>
        <v>772.6875</v>
      </c>
      <c r="N75" t="str">
        <f>_xlfn.XLOOKUP(B75, 'Task 2'!$E:$E,'Task 2'!$I:$I,"Good",0)</f>
        <v>Good</v>
      </c>
    </row>
    <row r="76" spans="1:14" x14ac:dyDescent="0.25">
      <c r="A76" t="s">
        <v>152</v>
      </c>
      <c r="B76" t="s">
        <v>153</v>
      </c>
      <c r="C76" s="1">
        <v>45942</v>
      </c>
      <c r="D76" t="s">
        <v>8</v>
      </c>
      <c r="E76" t="s">
        <v>9</v>
      </c>
      <c r="F76" s="7">
        <v>163.69</v>
      </c>
      <c r="G76" s="6">
        <v>10</v>
      </c>
      <c r="H76" s="6">
        <v>0.3</v>
      </c>
      <c r="I76" s="1">
        <v>45842</v>
      </c>
      <c r="J76" s="9">
        <f t="shared" si="4"/>
        <v>1636.9</v>
      </c>
      <c r="K76" s="9">
        <f t="shared" si="5"/>
        <v>1145.83</v>
      </c>
      <c r="L76" t="str">
        <f t="shared" si="6"/>
        <v>RETURNING</v>
      </c>
      <c r="M76" s="9">
        <f t="shared" si="7"/>
        <v>491.07</v>
      </c>
      <c r="N76" t="str">
        <f>_xlfn.XLOOKUP(B76, 'Task 2'!$E:$E,'Task 2'!$I:$I,"Good",0)</f>
        <v>High Risk</v>
      </c>
    </row>
    <row r="77" spans="1:14" x14ac:dyDescent="0.25">
      <c r="A77" t="s">
        <v>154</v>
      </c>
      <c r="B77" t="s">
        <v>155</v>
      </c>
      <c r="C77" s="1">
        <v>45918</v>
      </c>
      <c r="D77" t="s">
        <v>27</v>
      </c>
      <c r="E77" t="s">
        <v>22</v>
      </c>
      <c r="F77" s="7">
        <v>286.5</v>
      </c>
      <c r="G77" s="6">
        <v>6</v>
      </c>
      <c r="H77" s="6">
        <v>0.25</v>
      </c>
      <c r="I77" s="1">
        <v>45878</v>
      </c>
      <c r="J77" s="9">
        <f t="shared" si="4"/>
        <v>1719</v>
      </c>
      <c r="K77" s="9">
        <f t="shared" si="5"/>
        <v>1289.25</v>
      </c>
      <c r="L77" t="str">
        <f t="shared" si="6"/>
        <v>RETURNING</v>
      </c>
      <c r="M77" s="9">
        <f t="shared" si="7"/>
        <v>429.75</v>
      </c>
      <c r="N77" t="str">
        <f>_xlfn.XLOOKUP(B77, 'Task 2'!$E:$E,'Task 2'!$I:$I,"Good",0)</f>
        <v>Good</v>
      </c>
    </row>
    <row r="78" spans="1:14" x14ac:dyDescent="0.25">
      <c r="A78" t="s">
        <v>156</v>
      </c>
      <c r="B78" t="s">
        <v>157</v>
      </c>
      <c r="C78" s="1">
        <v>45947</v>
      </c>
      <c r="D78" t="s">
        <v>8</v>
      </c>
      <c r="E78" t="s">
        <v>22</v>
      </c>
      <c r="F78" s="7">
        <v>438.93</v>
      </c>
      <c r="G78" s="6">
        <v>12</v>
      </c>
      <c r="H78" s="6">
        <v>0</v>
      </c>
      <c r="I78" s="1">
        <v>45859</v>
      </c>
      <c r="J78" s="9">
        <f t="shared" si="4"/>
        <v>5267.16</v>
      </c>
      <c r="K78" s="9">
        <f t="shared" si="5"/>
        <v>5267.16</v>
      </c>
      <c r="L78" t="str">
        <f t="shared" si="6"/>
        <v>RETURNING</v>
      </c>
      <c r="M78" s="9">
        <f t="shared" si="7"/>
        <v>0</v>
      </c>
      <c r="N78" t="str">
        <f>_xlfn.XLOOKUP(B78, 'Task 2'!$E:$E,'Task 2'!$I:$I,"Good",0)</f>
        <v>Good</v>
      </c>
    </row>
    <row r="79" spans="1:14" x14ac:dyDescent="0.25">
      <c r="A79" t="s">
        <v>158</v>
      </c>
      <c r="B79" t="s">
        <v>159</v>
      </c>
      <c r="C79" s="1">
        <v>45947</v>
      </c>
      <c r="D79" t="s">
        <v>8</v>
      </c>
      <c r="E79" t="s">
        <v>36</v>
      </c>
      <c r="F79" s="7">
        <v>225.88</v>
      </c>
      <c r="G79" s="6">
        <v>1</v>
      </c>
      <c r="H79" s="6">
        <v>0.25</v>
      </c>
      <c r="I79" s="1">
        <v>45910</v>
      </c>
      <c r="J79" s="9">
        <f t="shared" si="4"/>
        <v>225.88</v>
      </c>
      <c r="K79" s="9">
        <f t="shared" si="5"/>
        <v>169.41</v>
      </c>
      <c r="L79" t="str">
        <f t="shared" si="6"/>
        <v>RETURNING</v>
      </c>
      <c r="M79" s="9">
        <f t="shared" si="7"/>
        <v>56.47</v>
      </c>
      <c r="N79" t="str">
        <f>_xlfn.XLOOKUP(B79, 'Task 2'!$E:$E,'Task 2'!$I:$I,"Good",0)</f>
        <v>Good</v>
      </c>
    </row>
    <row r="80" spans="1:14" x14ac:dyDescent="0.25">
      <c r="A80" t="s">
        <v>160</v>
      </c>
      <c r="B80" t="s">
        <v>161</v>
      </c>
      <c r="C80" s="1">
        <v>45731</v>
      </c>
      <c r="D80" t="s">
        <v>12</v>
      </c>
      <c r="E80" t="s">
        <v>36</v>
      </c>
      <c r="F80" s="7">
        <v>127.18</v>
      </c>
      <c r="G80" s="6">
        <v>6</v>
      </c>
      <c r="H80" s="6">
        <v>0.25</v>
      </c>
      <c r="I80" s="1">
        <v>45696</v>
      </c>
      <c r="J80" s="9">
        <f t="shared" si="4"/>
        <v>763.08</v>
      </c>
      <c r="K80" s="9">
        <f t="shared" si="5"/>
        <v>572.31000000000006</v>
      </c>
      <c r="L80" t="str">
        <f t="shared" si="6"/>
        <v>RETURNING</v>
      </c>
      <c r="M80" s="9">
        <f t="shared" si="7"/>
        <v>190.77</v>
      </c>
      <c r="N80" t="str">
        <f>_xlfn.XLOOKUP(B80, 'Task 2'!$E:$E,'Task 2'!$I:$I,"Good",0)</f>
        <v>Good</v>
      </c>
    </row>
    <row r="81" spans="1:14" x14ac:dyDescent="0.25">
      <c r="A81" t="s">
        <v>162</v>
      </c>
      <c r="B81" t="s">
        <v>163</v>
      </c>
      <c r="C81" s="1">
        <v>45739</v>
      </c>
      <c r="D81" t="s">
        <v>18</v>
      </c>
      <c r="E81" t="s">
        <v>13</v>
      </c>
      <c r="F81" s="7">
        <v>406.75</v>
      </c>
      <c r="G81" s="6">
        <v>2</v>
      </c>
      <c r="H81" s="6">
        <v>0.3</v>
      </c>
      <c r="I81" s="1">
        <v>45715</v>
      </c>
      <c r="J81" s="9">
        <f t="shared" si="4"/>
        <v>813.5</v>
      </c>
      <c r="K81" s="9">
        <f t="shared" si="5"/>
        <v>569.44999999999993</v>
      </c>
      <c r="L81" t="str">
        <f t="shared" si="6"/>
        <v>NEW</v>
      </c>
      <c r="M81" s="9">
        <f t="shared" si="7"/>
        <v>244.04999999999998</v>
      </c>
      <c r="N81" t="str">
        <f>_xlfn.XLOOKUP(B81, 'Task 2'!$E:$E,'Task 2'!$I:$I,"Good",0)</f>
        <v>High Risk</v>
      </c>
    </row>
    <row r="82" spans="1:14" x14ac:dyDescent="0.25">
      <c r="A82" t="s">
        <v>164</v>
      </c>
      <c r="B82" t="s">
        <v>165</v>
      </c>
      <c r="C82" s="1">
        <v>45943</v>
      </c>
      <c r="D82" t="s">
        <v>18</v>
      </c>
      <c r="E82" t="s">
        <v>9</v>
      </c>
      <c r="F82" s="7">
        <v>369.55</v>
      </c>
      <c r="G82" s="6">
        <v>9</v>
      </c>
      <c r="H82" s="6">
        <v>0.25</v>
      </c>
      <c r="I82" s="1">
        <v>45943</v>
      </c>
      <c r="J82" s="9">
        <f t="shared" si="4"/>
        <v>3325.9500000000003</v>
      </c>
      <c r="K82" s="9">
        <f t="shared" si="5"/>
        <v>2494.4625000000001</v>
      </c>
      <c r="L82" t="str">
        <f t="shared" si="6"/>
        <v>NEW</v>
      </c>
      <c r="M82" s="9">
        <f t="shared" si="7"/>
        <v>831.48750000000007</v>
      </c>
      <c r="N82" t="str">
        <f>_xlfn.XLOOKUP(B82, 'Task 2'!$E:$E,'Task 2'!$I:$I,"Good",0)</f>
        <v>Good</v>
      </c>
    </row>
    <row r="83" spans="1:14" x14ac:dyDescent="0.25">
      <c r="A83" t="s">
        <v>166</v>
      </c>
      <c r="B83" t="s">
        <v>49</v>
      </c>
      <c r="C83" s="1">
        <v>45747</v>
      </c>
      <c r="D83" t="s">
        <v>12</v>
      </c>
      <c r="E83" t="s">
        <v>13</v>
      </c>
      <c r="F83" s="7">
        <v>328.29</v>
      </c>
      <c r="G83" s="6">
        <v>5</v>
      </c>
      <c r="H83" s="6">
        <v>0.05</v>
      </c>
      <c r="I83" s="1">
        <v>45711</v>
      </c>
      <c r="J83" s="9">
        <f t="shared" si="4"/>
        <v>1641.45</v>
      </c>
      <c r="K83" s="9">
        <f t="shared" si="5"/>
        <v>1559.3775000000001</v>
      </c>
      <c r="L83" t="str">
        <f t="shared" si="6"/>
        <v>RETURNING</v>
      </c>
      <c r="M83" s="9">
        <f t="shared" si="7"/>
        <v>82.072500000000005</v>
      </c>
      <c r="N83" t="str">
        <f>_xlfn.XLOOKUP(B83, 'Task 2'!$E:$E,'Task 2'!$I:$I,"Good",0)</f>
        <v>Good</v>
      </c>
    </row>
    <row r="84" spans="1:14" x14ac:dyDescent="0.25">
      <c r="A84" t="s">
        <v>167</v>
      </c>
      <c r="B84" t="s">
        <v>168</v>
      </c>
      <c r="C84" s="1">
        <v>45950</v>
      </c>
      <c r="D84" t="s">
        <v>18</v>
      </c>
      <c r="E84" t="s">
        <v>19</v>
      </c>
      <c r="F84" s="7">
        <v>274.87</v>
      </c>
      <c r="G84" s="6">
        <v>12</v>
      </c>
      <c r="H84" s="6">
        <v>0.2</v>
      </c>
      <c r="I84" s="1">
        <v>45847</v>
      </c>
      <c r="J84" s="9">
        <f t="shared" si="4"/>
        <v>3298.44</v>
      </c>
      <c r="K84" s="9">
        <f t="shared" si="5"/>
        <v>2638.7520000000004</v>
      </c>
      <c r="L84" t="str">
        <f t="shared" si="6"/>
        <v>RETURNING</v>
      </c>
      <c r="M84" s="9">
        <f t="shared" si="7"/>
        <v>659.6880000000001</v>
      </c>
      <c r="N84" t="str">
        <f>_xlfn.XLOOKUP(B84, 'Task 2'!$E:$E,'Task 2'!$I:$I,"Good",0)</f>
        <v>Good</v>
      </c>
    </row>
    <row r="85" spans="1:14" x14ac:dyDescent="0.25">
      <c r="A85" t="s">
        <v>169</v>
      </c>
      <c r="B85" t="s">
        <v>170</v>
      </c>
      <c r="C85" s="1">
        <v>46022</v>
      </c>
      <c r="D85" t="s">
        <v>12</v>
      </c>
      <c r="E85" t="s">
        <v>22</v>
      </c>
      <c r="F85" s="7">
        <v>350.35</v>
      </c>
      <c r="G85" s="6">
        <v>14</v>
      </c>
      <c r="H85" s="6">
        <v>0.05</v>
      </c>
      <c r="I85" s="1">
        <v>45941</v>
      </c>
      <c r="J85" s="9">
        <f t="shared" si="4"/>
        <v>4904.9000000000005</v>
      </c>
      <c r="K85" s="9">
        <f t="shared" si="5"/>
        <v>4659.6550000000007</v>
      </c>
      <c r="L85" t="str">
        <f t="shared" si="6"/>
        <v>RETURNING</v>
      </c>
      <c r="M85" s="9">
        <f t="shared" si="7"/>
        <v>245.24500000000003</v>
      </c>
      <c r="N85" t="str">
        <f>_xlfn.XLOOKUP(B85, 'Task 2'!$E:$E,'Task 2'!$I:$I,"Good",0)</f>
        <v>Good</v>
      </c>
    </row>
    <row r="86" spans="1:14" x14ac:dyDescent="0.25">
      <c r="A86" t="s">
        <v>171</v>
      </c>
      <c r="B86" t="s">
        <v>172</v>
      </c>
      <c r="C86" s="1">
        <v>45823</v>
      </c>
      <c r="D86" t="s">
        <v>27</v>
      </c>
      <c r="E86" t="s">
        <v>19</v>
      </c>
      <c r="F86" s="7">
        <v>121.73</v>
      </c>
      <c r="G86" s="6">
        <v>5</v>
      </c>
      <c r="H86" s="6">
        <v>0.1</v>
      </c>
      <c r="I86" s="1">
        <v>45820</v>
      </c>
      <c r="J86" s="9">
        <f t="shared" si="4"/>
        <v>608.65</v>
      </c>
      <c r="K86" s="9">
        <f t="shared" si="5"/>
        <v>547.78499999999997</v>
      </c>
      <c r="L86" t="str">
        <f t="shared" si="6"/>
        <v>NEW</v>
      </c>
      <c r="M86" s="9">
        <f t="shared" si="7"/>
        <v>60.865000000000002</v>
      </c>
      <c r="N86" t="str">
        <f>_xlfn.XLOOKUP(B86, 'Task 2'!$E:$E,'Task 2'!$I:$I,"Good",0)</f>
        <v>Good</v>
      </c>
    </row>
    <row r="87" spans="1:14" x14ac:dyDescent="0.25">
      <c r="A87" t="s">
        <v>173</v>
      </c>
      <c r="B87" t="s">
        <v>95</v>
      </c>
      <c r="C87" s="1">
        <v>45687</v>
      </c>
      <c r="D87" t="s">
        <v>27</v>
      </c>
      <c r="E87" t="s">
        <v>36</v>
      </c>
      <c r="F87" s="7">
        <v>328.87</v>
      </c>
      <c r="G87" s="6">
        <v>8</v>
      </c>
      <c r="H87" s="6">
        <v>0.1</v>
      </c>
      <c r="I87" s="1">
        <v>45662</v>
      </c>
      <c r="J87" s="9">
        <f t="shared" si="4"/>
        <v>2630.96</v>
      </c>
      <c r="K87" s="9">
        <f t="shared" si="5"/>
        <v>2367.864</v>
      </c>
      <c r="L87" t="str">
        <f t="shared" si="6"/>
        <v>NEW</v>
      </c>
      <c r="M87" s="9">
        <f t="shared" si="7"/>
        <v>263.096</v>
      </c>
      <c r="N87" t="str">
        <f>_xlfn.XLOOKUP(B87, 'Task 2'!$E:$E,'Task 2'!$I:$I,"Good",0)</f>
        <v>Good</v>
      </c>
    </row>
    <row r="88" spans="1:14" x14ac:dyDescent="0.25">
      <c r="A88" t="s">
        <v>174</v>
      </c>
      <c r="B88" t="s">
        <v>175</v>
      </c>
      <c r="C88" s="1">
        <v>45689</v>
      </c>
      <c r="D88" t="s">
        <v>27</v>
      </c>
      <c r="E88" t="s">
        <v>9</v>
      </c>
      <c r="F88" s="7">
        <v>225.43</v>
      </c>
      <c r="G88" s="6">
        <v>10</v>
      </c>
      <c r="H88" s="6">
        <v>0.15</v>
      </c>
      <c r="I88" s="1">
        <v>45667</v>
      </c>
      <c r="J88" s="9">
        <f t="shared" si="4"/>
        <v>2254.3000000000002</v>
      </c>
      <c r="K88" s="9">
        <f t="shared" si="5"/>
        <v>1916.1550000000002</v>
      </c>
      <c r="L88" t="str">
        <f t="shared" si="6"/>
        <v>NEW</v>
      </c>
      <c r="M88" s="9">
        <f t="shared" si="7"/>
        <v>338.14500000000004</v>
      </c>
      <c r="N88" t="str">
        <f>_xlfn.XLOOKUP(B88, 'Task 2'!$E:$E,'Task 2'!$I:$I,"Good",0)</f>
        <v>Good</v>
      </c>
    </row>
    <row r="89" spans="1:14" x14ac:dyDescent="0.25">
      <c r="A89" t="s">
        <v>176</v>
      </c>
      <c r="B89" t="s">
        <v>59</v>
      </c>
      <c r="C89" s="1">
        <v>45861</v>
      </c>
      <c r="D89" t="s">
        <v>8</v>
      </c>
      <c r="E89" t="s">
        <v>22</v>
      </c>
      <c r="F89" s="7">
        <v>37.369999999999997</v>
      </c>
      <c r="G89" s="6">
        <v>14</v>
      </c>
      <c r="H89" s="6">
        <v>0.1</v>
      </c>
      <c r="I89" s="1">
        <v>45848</v>
      </c>
      <c r="J89" s="9">
        <f t="shared" si="4"/>
        <v>523.17999999999995</v>
      </c>
      <c r="K89" s="9">
        <f t="shared" si="5"/>
        <v>470.86199999999997</v>
      </c>
      <c r="L89" t="str">
        <f t="shared" si="6"/>
        <v>NEW</v>
      </c>
      <c r="M89" s="9">
        <f t="shared" si="7"/>
        <v>52.317999999999998</v>
      </c>
      <c r="N89" t="str">
        <f>_xlfn.XLOOKUP(B89, 'Task 2'!$E:$E,'Task 2'!$I:$I,"Good",0)</f>
        <v>Good</v>
      </c>
    </row>
    <row r="90" spans="1:14" x14ac:dyDescent="0.25">
      <c r="A90" t="s">
        <v>177</v>
      </c>
      <c r="B90" t="s">
        <v>178</v>
      </c>
      <c r="C90" s="1">
        <v>45797</v>
      </c>
      <c r="D90" t="s">
        <v>12</v>
      </c>
      <c r="E90" t="s">
        <v>36</v>
      </c>
      <c r="F90" s="7">
        <v>47.68</v>
      </c>
      <c r="G90" s="6">
        <v>1</v>
      </c>
      <c r="H90" s="6">
        <v>0</v>
      </c>
      <c r="I90" s="1">
        <v>45731</v>
      </c>
      <c r="J90" s="9">
        <f t="shared" si="4"/>
        <v>47.68</v>
      </c>
      <c r="K90" s="9">
        <f t="shared" si="5"/>
        <v>47.68</v>
      </c>
      <c r="L90" t="str">
        <f t="shared" si="6"/>
        <v>RETURNING</v>
      </c>
      <c r="M90" s="9">
        <f t="shared" si="7"/>
        <v>0</v>
      </c>
      <c r="N90" t="str">
        <f>_xlfn.XLOOKUP(B90, 'Task 2'!$E:$E,'Task 2'!$I:$I,"Good",0)</f>
        <v>Good</v>
      </c>
    </row>
    <row r="91" spans="1:14" x14ac:dyDescent="0.25">
      <c r="A91" t="s">
        <v>179</v>
      </c>
      <c r="B91" t="s">
        <v>180</v>
      </c>
      <c r="C91" s="1">
        <v>45928</v>
      </c>
      <c r="D91" t="s">
        <v>27</v>
      </c>
      <c r="E91" t="s">
        <v>13</v>
      </c>
      <c r="F91" s="7">
        <v>214.96</v>
      </c>
      <c r="G91" s="6">
        <v>3</v>
      </c>
      <c r="H91" s="6">
        <v>0.1</v>
      </c>
      <c r="I91" s="1">
        <v>45874</v>
      </c>
      <c r="J91" s="9">
        <f t="shared" si="4"/>
        <v>644.88</v>
      </c>
      <c r="K91" s="9">
        <f t="shared" si="5"/>
        <v>580.39200000000005</v>
      </c>
      <c r="L91" t="str">
        <f t="shared" si="6"/>
        <v>RETURNING</v>
      </c>
      <c r="M91" s="9">
        <f t="shared" si="7"/>
        <v>64.488</v>
      </c>
      <c r="N91" t="str">
        <f>_xlfn.XLOOKUP(B91, 'Task 2'!$E:$E,'Task 2'!$I:$I,"Good",0)</f>
        <v>Good</v>
      </c>
    </row>
    <row r="92" spans="1:14" x14ac:dyDescent="0.25">
      <c r="A92" t="s">
        <v>181</v>
      </c>
      <c r="B92" t="s">
        <v>70</v>
      </c>
      <c r="C92" s="1">
        <v>45783</v>
      </c>
      <c r="D92" t="s">
        <v>8</v>
      </c>
      <c r="E92" t="s">
        <v>13</v>
      </c>
      <c r="F92" s="7">
        <v>59.85</v>
      </c>
      <c r="G92" s="6">
        <v>5</v>
      </c>
      <c r="H92" s="6">
        <v>0.15</v>
      </c>
      <c r="I92" s="1">
        <v>45783</v>
      </c>
      <c r="J92" s="9">
        <f t="shared" si="4"/>
        <v>299.25</v>
      </c>
      <c r="K92" s="9">
        <f t="shared" si="5"/>
        <v>254.36249999999998</v>
      </c>
      <c r="L92" t="str">
        <f t="shared" si="6"/>
        <v>NEW</v>
      </c>
      <c r="M92" s="9">
        <f t="shared" si="7"/>
        <v>44.887499999999996</v>
      </c>
      <c r="N92" t="str">
        <f>_xlfn.XLOOKUP(B92, 'Task 2'!$E:$E,'Task 2'!$I:$I,"Good",0)</f>
        <v>Good</v>
      </c>
    </row>
    <row r="93" spans="1:14" x14ac:dyDescent="0.25">
      <c r="A93" t="s">
        <v>182</v>
      </c>
      <c r="B93" t="s">
        <v>183</v>
      </c>
      <c r="C93" s="1">
        <v>46022</v>
      </c>
      <c r="D93" t="s">
        <v>8</v>
      </c>
      <c r="E93" t="s">
        <v>36</v>
      </c>
      <c r="F93" s="7">
        <v>95.53</v>
      </c>
      <c r="G93" s="6">
        <v>14</v>
      </c>
      <c r="H93" s="6">
        <v>0.1</v>
      </c>
      <c r="I93" s="1">
        <v>45921</v>
      </c>
      <c r="J93" s="9">
        <f t="shared" si="4"/>
        <v>1337.42</v>
      </c>
      <c r="K93" s="9">
        <f t="shared" si="5"/>
        <v>1203.6780000000001</v>
      </c>
      <c r="L93" t="str">
        <f t="shared" si="6"/>
        <v>RETURNING</v>
      </c>
      <c r="M93" s="9">
        <f t="shared" si="7"/>
        <v>133.74200000000002</v>
      </c>
      <c r="N93" t="str">
        <f>_xlfn.XLOOKUP(B93, 'Task 2'!$E:$E,'Task 2'!$I:$I,"Good",0)</f>
        <v>Good</v>
      </c>
    </row>
    <row r="94" spans="1:14" x14ac:dyDescent="0.25">
      <c r="A94" t="s">
        <v>184</v>
      </c>
      <c r="B94" t="s">
        <v>185</v>
      </c>
      <c r="C94" s="1">
        <v>45846</v>
      </c>
      <c r="D94" t="s">
        <v>12</v>
      </c>
      <c r="E94" t="s">
        <v>9</v>
      </c>
      <c r="F94" s="7">
        <v>316.14</v>
      </c>
      <c r="G94" s="6">
        <v>6</v>
      </c>
      <c r="H94" s="6">
        <v>0</v>
      </c>
      <c r="I94" s="1">
        <v>45801</v>
      </c>
      <c r="J94" s="9">
        <f t="shared" si="4"/>
        <v>1896.84</v>
      </c>
      <c r="K94" s="9">
        <f t="shared" si="5"/>
        <v>1896.84</v>
      </c>
      <c r="L94" t="str">
        <f t="shared" si="6"/>
        <v>RETURNING</v>
      </c>
      <c r="M94" s="9">
        <f t="shared" si="7"/>
        <v>0</v>
      </c>
      <c r="N94" t="str">
        <f>_xlfn.XLOOKUP(B94, 'Task 2'!$E:$E,'Task 2'!$I:$I,"Good",0)</f>
        <v>Good</v>
      </c>
    </row>
    <row r="95" spans="1:14" x14ac:dyDescent="0.25">
      <c r="A95" t="s">
        <v>186</v>
      </c>
      <c r="B95" t="s">
        <v>187</v>
      </c>
      <c r="C95" s="1">
        <v>45907</v>
      </c>
      <c r="D95" t="s">
        <v>8</v>
      </c>
      <c r="E95" t="s">
        <v>13</v>
      </c>
      <c r="F95" s="7">
        <v>37.44</v>
      </c>
      <c r="G95" s="6">
        <v>10</v>
      </c>
      <c r="H95" s="6">
        <v>0.3</v>
      </c>
      <c r="I95" s="1">
        <v>45861</v>
      </c>
      <c r="J95" s="9">
        <f t="shared" si="4"/>
        <v>374.4</v>
      </c>
      <c r="K95" s="9">
        <f t="shared" si="5"/>
        <v>262.08</v>
      </c>
      <c r="L95" t="str">
        <f t="shared" si="6"/>
        <v>RETURNING</v>
      </c>
      <c r="M95" s="9">
        <f t="shared" si="7"/>
        <v>112.32</v>
      </c>
      <c r="N95" t="str">
        <f>_xlfn.XLOOKUP(B95, 'Task 2'!$E:$E,'Task 2'!$I:$I,"Good",0)</f>
        <v>High Risk</v>
      </c>
    </row>
    <row r="96" spans="1:14" x14ac:dyDescent="0.25">
      <c r="A96" t="s">
        <v>188</v>
      </c>
      <c r="B96" t="s">
        <v>189</v>
      </c>
      <c r="C96" s="1">
        <v>45965</v>
      </c>
      <c r="D96" t="s">
        <v>8</v>
      </c>
      <c r="E96" t="s">
        <v>36</v>
      </c>
      <c r="F96" s="7">
        <v>93.55</v>
      </c>
      <c r="G96" s="6">
        <v>5</v>
      </c>
      <c r="H96" s="6">
        <v>0.25</v>
      </c>
      <c r="I96" s="1">
        <v>45910</v>
      </c>
      <c r="J96" s="9">
        <f t="shared" si="4"/>
        <v>467.75</v>
      </c>
      <c r="K96" s="9">
        <f t="shared" si="5"/>
        <v>350.8125</v>
      </c>
      <c r="L96" t="str">
        <f t="shared" si="6"/>
        <v>RETURNING</v>
      </c>
      <c r="M96" s="9">
        <f t="shared" si="7"/>
        <v>116.9375</v>
      </c>
      <c r="N96" t="str">
        <f>_xlfn.XLOOKUP(B96, 'Task 2'!$E:$E,'Task 2'!$I:$I,"Good",0)</f>
        <v>Good</v>
      </c>
    </row>
    <row r="97" spans="1:14" x14ac:dyDescent="0.25">
      <c r="A97" t="s">
        <v>190</v>
      </c>
      <c r="B97" t="s">
        <v>191</v>
      </c>
      <c r="C97" s="1">
        <v>45876</v>
      </c>
      <c r="D97" t="s">
        <v>8</v>
      </c>
      <c r="E97" t="s">
        <v>9</v>
      </c>
      <c r="F97" s="7">
        <v>333</v>
      </c>
      <c r="G97" s="6">
        <v>3</v>
      </c>
      <c r="H97" s="6">
        <v>0.05</v>
      </c>
      <c r="I97" s="1">
        <v>45860</v>
      </c>
      <c r="J97" s="9">
        <f t="shared" si="4"/>
        <v>999</v>
      </c>
      <c r="K97" s="9">
        <f t="shared" si="5"/>
        <v>949.05</v>
      </c>
      <c r="L97" t="str">
        <f t="shared" si="6"/>
        <v>NEW</v>
      </c>
      <c r="M97" s="9">
        <f t="shared" si="7"/>
        <v>49.95</v>
      </c>
      <c r="N97" t="str">
        <f>_xlfn.XLOOKUP(B97, 'Task 2'!$E:$E,'Task 2'!$I:$I,"Good",0)</f>
        <v>Good</v>
      </c>
    </row>
    <row r="98" spans="1:14" x14ac:dyDescent="0.25">
      <c r="A98" t="s">
        <v>192</v>
      </c>
      <c r="B98" t="s">
        <v>193</v>
      </c>
      <c r="C98" s="1">
        <v>45864</v>
      </c>
      <c r="D98" t="s">
        <v>8</v>
      </c>
      <c r="E98" t="s">
        <v>22</v>
      </c>
      <c r="F98" s="7">
        <v>382.38</v>
      </c>
      <c r="G98" s="6">
        <v>2</v>
      </c>
      <c r="H98" s="6">
        <v>0.1</v>
      </c>
      <c r="I98" s="1">
        <v>45793</v>
      </c>
      <c r="J98" s="9">
        <f t="shared" si="4"/>
        <v>764.76</v>
      </c>
      <c r="K98" s="9">
        <f t="shared" si="5"/>
        <v>688.28399999999999</v>
      </c>
      <c r="L98" t="str">
        <f t="shared" si="6"/>
        <v>RETURNING</v>
      </c>
      <c r="M98" s="9">
        <f t="shared" si="7"/>
        <v>76.475999999999999</v>
      </c>
      <c r="N98" t="str">
        <f>_xlfn.XLOOKUP(B98, 'Task 2'!$E:$E,'Task 2'!$I:$I,"Good",0)</f>
        <v>Good</v>
      </c>
    </row>
    <row r="99" spans="1:14" x14ac:dyDescent="0.25">
      <c r="A99" t="s">
        <v>194</v>
      </c>
      <c r="B99" t="s">
        <v>31</v>
      </c>
      <c r="C99" s="1">
        <v>45881</v>
      </c>
      <c r="D99" t="s">
        <v>8</v>
      </c>
      <c r="E99" t="s">
        <v>19</v>
      </c>
      <c r="F99" s="7">
        <v>258.89</v>
      </c>
      <c r="G99" s="6">
        <v>13</v>
      </c>
      <c r="H99" s="6">
        <v>0.05</v>
      </c>
      <c r="I99" s="1">
        <v>45880</v>
      </c>
      <c r="J99" s="9">
        <f t="shared" si="4"/>
        <v>3365.5699999999997</v>
      </c>
      <c r="K99" s="9">
        <f t="shared" si="5"/>
        <v>3197.2914999999994</v>
      </c>
      <c r="L99" t="str">
        <f t="shared" si="6"/>
        <v>NEW</v>
      </c>
      <c r="M99" s="9">
        <f t="shared" si="7"/>
        <v>168.27850000000001</v>
      </c>
      <c r="N99" t="str">
        <f>_xlfn.XLOOKUP(B99, 'Task 2'!$E:$E,'Task 2'!$I:$I,"Good",0)</f>
        <v>Good</v>
      </c>
    </row>
    <row r="100" spans="1:14" x14ac:dyDescent="0.25">
      <c r="A100" t="s">
        <v>195</v>
      </c>
      <c r="B100" t="s">
        <v>196</v>
      </c>
      <c r="C100" s="1">
        <v>45925</v>
      </c>
      <c r="D100" t="s">
        <v>27</v>
      </c>
      <c r="E100" t="s">
        <v>13</v>
      </c>
      <c r="F100" s="7">
        <v>330.27</v>
      </c>
      <c r="G100" s="6">
        <v>12</v>
      </c>
      <c r="H100" s="6">
        <v>0.3</v>
      </c>
      <c r="I100" s="1">
        <v>45872</v>
      </c>
      <c r="J100" s="9">
        <f t="shared" si="4"/>
        <v>3963.24</v>
      </c>
      <c r="K100" s="9">
        <f t="shared" si="5"/>
        <v>2774.2679999999996</v>
      </c>
      <c r="L100" t="str">
        <f t="shared" si="6"/>
        <v>RETURNING</v>
      </c>
      <c r="M100" s="9">
        <f t="shared" si="7"/>
        <v>1188.972</v>
      </c>
      <c r="N100" t="str">
        <f>_xlfn.XLOOKUP(B100, 'Task 2'!$E:$E,'Task 2'!$I:$I,"Good",0)</f>
        <v>High Risk</v>
      </c>
    </row>
    <row r="101" spans="1:14" x14ac:dyDescent="0.25">
      <c r="A101" t="s">
        <v>197</v>
      </c>
      <c r="B101" t="s">
        <v>198</v>
      </c>
      <c r="C101" s="1">
        <v>45903</v>
      </c>
      <c r="D101" t="s">
        <v>27</v>
      </c>
      <c r="E101" t="s">
        <v>9</v>
      </c>
      <c r="F101" s="7">
        <v>302.82</v>
      </c>
      <c r="G101" s="6">
        <v>13</v>
      </c>
      <c r="H101" s="6">
        <v>0.05</v>
      </c>
      <c r="I101" s="1">
        <v>45830</v>
      </c>
      <c r="J101" s="9">
        <f t="shared" si="4"/>
        <v>3936.66</v>
      </c>
      <c r="K101" s="9">
        <f t="shared" si="5"/>
        <v>3739.8269999999998</v>
      </c>
      <c r="L101" t="str">
        <f t="shared" si="6"/>
        <v>RETURNING</v>
      </c>
      <c r="M101" s="9">
        <f t="shared" si="7"/>
        <v>196.833</v>
      </c>
      <c r="N101" t="str">
        <f>_xlfn.XLOOKUP(B101, 'Task 2'!$E:$E,'Task 2'!$I:$I,"Good",0)</f>
        <v>Good</v>
      </c>
    </row>
    <row r="102" spans="1:14" x14ac:dyDescent="0.25">
      <c r="A102" t="s">
        <v>199</v>
      </c>
      <c r="B102" t="s">
        <v>128</v>
      </c>
      <c r="C102" s="1">
        <v>46022</v>
      </c>
      <c r="D102" t="s">
        <v>18</v>
      </c>
      <c r="E102" t="s">
        <v>22</v>
      </c>
      <c r="F102" s="7">
        <v>116.34</v>
      </c>
      <c r="G102" s="6">
        <v>7</v>
      </c>
      <c r="H102" s="6">
        <v>0.1</v>
      </c>
      <c r="I102" s="1">
        <v>45943</v>
      </c>
      <c r="J102" s="9">
        <f t="shared" si="4"/>
        <v>814.38</v>
      </c>
      <c r="K102" s="9">
        <f t="shared" si="5"/>
        <v>732.94200000000001</v>
      </c>
      <c r="L102" t="str">
        <f t="shared" si="6"/>
        <v>RETURNING</v>
      </c>
      <c r="M102" s="9">
        <f t="shared" si="7"/>
        <v>81.438000000000002</v>
      </c>
      <c r="N102" t="str">
        <f>_xlfn.XLOOKUP(B102, 'Task 2'!$E:$E,'Task 2'!$I:$I,"Good",0)</f>
        <v>Good</v>
      </c>
    </row>
    <row r="103" spans="1:14" x14ac:dyDescent="0.25">
      <c r="A103" t="s">
        <v>200</v>
      </c>
      <c r="B103" t="s">
        <v>201</v>
      </c>
      <c r="C103" s="1">
        <v>46022</v>
      </c>
      <c r="D103" t="s">
        <v>8</v>
      </c>
      <c r="E103" t="s">
        <v>9</v>
      </c>
      <c r="F103" s="7">
        <v>245.09</v>
      </c>
      <c r="G103" s="6">
        <v>3</v>
      </c>
      <c r="H103" s="6">
        <v>0.1</v>
      </c>
      <c r="I103" s="1">
        <v>45890</v>
      </c>
      <c r="J103" s="9">
        <f t="shared" si="4"/>
        <v>735.27</v>
      </c>
      <c r="K103" s="9">
        <f t="shared" si="5"/>
        <v>661.74300000000005</v>
      </c>
      <c r="L103" t="str">
        <f t="shared" si="6"/>
        <v>RETURNING</v>
      </c>
      <c r="M103" s="9">
        <f t="shared" si="7"/>
        <v>73.527000000000001</v>
      </c>
      <c r="N103" t="str">
        <f>_xlfn.XLOOKUP(B103, 'Task 2'!$E:$E,'Task 2'!$I:$I,"Good",0)</f>
        <v>Good</v>
      </c>
    </row>
    <row r="104" spans="1:14" x14ac:dyDescent="0.25">
      <c r="A104" t="s">
        <v>202</v>
      </c>
      <c r="B104" t="s">
        <v>203</v>
      </c>
      <c r="C104" s="1">
        <v>45765</v>
      </c>
      <c r="D104" t="s">
        <v>12</v>
      </c>
      <c r="E104" t="s">
        <v>36</v>
      </c>
      <c r="F104" s="7">
        <v>189.84</v>
      </c>
      <c r="G104" s="6">
        <v>5</v>
      </c>
      <c r="H104" s="6">
        <v>0.15</v>
      </c>
      <c r="I104" s="1">
        <v>45765</v>
      </c>
      <c r="J104" s="9">
        <f t="shared" si="4"/>
        <v>949.2</v>
      </c>
      <c r="K104" s="9">
        <f t="shared" si="5"/>
        <v>806.82</v>
      </c>
      <c r="L104" t="str">
        <f t="shared" si="6"/>
        <v>NEW</v>
      </c>
      <c r="M104" s="9">
        <f t="shared" si="7"/>
        <v>142.38</v>
      </c>
      <c r="N104" t="str">
        <f>_xlfn.XLOOKUP(B104, 'Task 2'!$E:$E,'Task 2'!$I:$I,"Good",0)</f>
        <v>Good</v>
      </c>
    </row>
    <row r="105" spans="1:14" x14ac:dyDescent="0.25">
      <c r="A105" t="s">
        <v>204</v>
      </c>
      <c r="B105" t="s">
        <v>205</v>
      </c>
      <c r="C105" s="1">
        <v>45735</v>
      </c>
      <c r="D105" t="s">
        <v>27</v>
      </c>
      <c r="E105" t="s">
        <v>36</v>
      </c>
      <c r="F105" s="7">
        <v>349.2</v>
      </c>
      <c r="G105" s="6">
        <v>9</v>
      </c>
      <c r="H105" s="6">
        <v>0.3</v>
      </c>
      <c r="I105" s="1">
        <v>45696</v>
      </c>
      <c r="J105" s="9">
        <f t="shared" si="4"/>
        <v>3142.7999999999997</v>
      </c>
      <c r="K105" s="9">
        <f t="shared" si="5"/>
        <v>2199.9599999999996</v>
      </c>
      <c r="L105" t="str">
        <f t="shared" si="6"/>
        <v>RETURNING</v>
      </c>
      <c r="M105" s="9">
        <f t="shared" si="7"/>
        <v>942.83999999999992</v>
      </c>
      <c r="N105" t="str">
        <f>_xlfn.XLOOKUP(B105, 'Task 2'!$E:$E,'Task 2'!$I:$I,"Good",0)</f>
        <v>High Risk</v>
      </c>
    </row>
    <row r="106" spans="1:14" x14ac:dyDescent="0.25">
      <c r="A106" t="s">
        <v>206</v>
      </c>
      <c r="B106" t="s">
        <v>207</v>
      </c>
      <c r="C106" s="1">
        <v>45959</v>
      </c>
      <c r="D106" t="s">
        <v>8</v>
      </c>
      <c r="E106" t="s">
        <v>9</v>
      </c>
      <c r="F106" s="7">
        <v>169.26</v>
      </c>
      <c r="G106" s="6">
        <v>14</v>
      </c>
      <c r="H106" s="6">
        <v>0.05</v>
      </c>
      <c r="I106" s="1">
        <v>45947</v>
      </c>
      <c r="J106" s="9">
        <f t="shared" si="4"/>
        <v>2369.64</v>
      </c>
      <c r="K106" s="9">
        <f t="shared" si="5"/>
        <v>2251.1579999999999</v>
      </c>
      <c r="L106" t="str">
        <f t="shared" si="6"/>
        <v>NEW</v>
      </c>
      <c r="M106" s="9">
        <f t="shared" si="7"/>
        <v>118.482</v>
      </c>
      <c r="N106" t="str">
        <f>_xlfn.XLOOKUP(B106, 'Task 2'!$E:$E,'Task 2'!$I:$I,"Good",0)</f>
        <v>Good</v>
      </c>
    </row>
    <row r="107" spans="1:14" x14ac:dyDescent="0.25">
      <c r="A107" t="s">
        <v>208</v>
      </c>
      <c r="B107" t="s">
        <v>209</v>
      </c>
      <c r="C107" s="1">
        <v>45895</v>
      </c>
      <c r="D107" t="s">
        <v>12</v>
      </c>
      <c r="E107" t="s">
        <v>36</v>
      </c>
      <c r="F107" s="7">
        <v>411</v>
      </c>
      <c r="G107" s="6">
        <v>9</v>
      </c>
      <c r="H107" s="6">
        <v>0.3</v>
      </c>
      <c r="I107" s="1">
        <v>45884</v>
      </c>
      <c r="J107" s="9">
        <f t="shared" si="4"/>
        <v>3699</v>
      </c>
      <c r="K107" s="9">
        <f t="shared" si="5"/>
        <v>2589.2999999999997</v>
      </c>
      <c r="L107" t="str">
        <f t="shared" si="6"/>
        <v>NEW</v>
      </c>
      <c r="M107" s="9">
        <f t="shared" si="7"/>
        <v>1109.7</v>
      </c>
      <c r="N107" t="str">
        <f>_xlfn.XLOOKUP(B107, 'Task 2'!$E:$E,'Task 2'!$I:$I,"Good",0)</f>
        <v>High Risk</v>
      </c>
    </row>
    <row r="108" spans="1:14" x14ac:dyDescent="0.25">
      <c r="A108" t="s">
        <v>210</v>
      </c>
      <c r="B108" t="s">
        <v>211</v>
      </c>
      <c r="C108" s="1">
        <v>45872</v>
      </c>
      <c r="D108" t="s">
        <v>12</v>
      </c>
      <c r="E108" t="s">
        <v>9</v>
      </c>
      <c r="F108" s="7">
        <v>127.66</v>
      </c>
      <c r="G108" s="6">
        <v>12</v>
      </c>
      <c r="H108" s="6">
        <v>0.25</v>
      </c>
      <c r="I108" s="1">
        <v>45732</v>
      </c>
      <c r="J108" s="9">
        <f t="shared" si="4"/>
        <v>1531.92</v>
      </c>
      <c r="K108" s="9">
        <f t="shared" si="5"/>
        <v>1148.94</v>
      </c>
      <c r="L108" t="str">
        <f t="shared" si="6"/>
        <v>RETURNING</v>
      </c>
      <c r="M108" s="9">
        <f t="shared" si="7"/>
        <v>382.98</v>
      </c>
      <c r="N108" t="str">
        <f>_xlfn.XLOOKUP(B108, 'Task 2'!$E:$E,'Task 2'!$I:$I,"Good",0)</f>
        <v>Good</v>
      </c>
    </row>
    <row r="109" spans="1:14" x14ac:dyDescent="0.25">
      <c r="A109" t="s">
        <v>212</v>
      </c>
      <c r="B109" t="s">
        <v>213</v>
      </c>
      <c r="C109" s="1">
        <v>46003</v>
      </c>
      <c r="D109" t="s">
        <v>18</v>
      </c>
      <c r="E109" t="s">
        <v>19</v>
      </c>
      <c r="F109" s="7">
        <v>408.12</v>
      </c>
      <c r="G109" s="6">
        <v>2</v>
      </c>
      <c r="H109" s="6">
        <v>0</v>
      </c>
      <c r="I109" s="1">
        <v>45908</v>
      </c>
      <c r="J109" s="9">
        <f t="shared" si="4"/>
        <v>816.24</v>
      </c>
      <c r="K109" s="9">
        <f t="shared" si="5"/>
        <v>816.24</v>
      </c>
      <c r="L109" t="str">
        <f t="shared" si="6"/>
        <v>RETURNING</v>
      </c>
      <c r="M109" s="9">
        <f t="shared" si="7"/>
        <v>0</v>
      </c>
      <c r="N109" t="str">
        <f>_xlfn.XLOOKUP(B109, 'Task 2'!$E:$E,'Task 2'!$I:$I,"Good",0)</f>
        <v>Good</v>
      </c>
    </row>
    <row r="110" spans="1:14" x14ac:dyDescent="0.25">
      <c r="A110" t="s">
        <v>214</v>
      </c>
      <c r="B110" t="s">
        <v>215</v>
      </c>
      <c r="C110" s="1">
        <v>45945</v>
      </c>
      <c r="D110" t="s">
        <v>8</v>
      </c>
      <c r="E110" t="s">
        <v>22</v>
      </c>
      <c r="F110" s="7">
        <v>379.45</v>
      </c>
      <c r="G110" s="6">
        <v>6</v>
      </c>
      <c r="H110" s="6">
        <v>0.2</v>
      </c>
      <c r="I110" s="1">
        <v>45733</v>
      </c>
      <c r="J110" s="9">
        <f t="shared" si="4"/>
        <v>2276.6999999999998</v>
      </c>
      <c r="K110" s="9">
        <f t="shared" si="5"/>
        <v>1821.36</v>
      </c>
      <c r="L110" t="str">
        <f t="shared" si="6"/>
        <v>RETURNING</v>
      </c>
      <c r="M110" s="9">
        <f t="shared" si="7"/>
        <v>455.34</v>
      </c>
      <c r="N110" t="str">
        <f>_xlfn.XLOOKUP(B110, 'Task 2'!$E:$E,'Task 2'!$I:$I,"Good",0)</f>
        <v>Good</v>
      </c>
    </row>
    <row r="111" spans="1:14" x14ac:dyDescent="0.25">
      <c r="A111" t="s">
        <v>216</v>
      </c>
      <c r="B111" t="s">
        <v>217</v>
      </c>
      <c r="C111" s="1">
        <v>45733</v>
      </c>
      <c r="D111" t="s">
        <v>18</v>
      </c>
      <c r="E111" t="s">
        <v>19</v>
      </c>
      <c r="F111" s="7">
        <v>91.79</v>
      </c>
      <c r="G111" s="6">
        <v>10</v>
      </c>
      <c r="H111" s="6">
        <v>0</v>
      </c>
      <c r="I111" s="1">
        <v>45701</v>
      </c>
      <c r="J111" s="9">
        <f t="shared" si="4"/>
        <v>917.90000000000009</v>
      </c>
      <c r="K111" s="9">
        <f t="shared" si="5"/>
        <v>917.90000000000009</v>
      </c>
      <c r="L111" t="str">
        <f t="shared" si="6"/>
        <v>RETURNING</v>
      </c>
      <c r="M111" s="9">
        <f t="shared" si="7"/>
        <v>0</v>
      </c>
      <c r="N111" t="str">
        <f>_xlfn.XLOOKUP(B111, 'Task 2'!$E:$E,'Task 2'!$I:$I,"Good",0)</f>
        <v>Good</v>
      </c>
    </row>
    <row r="112" spans="1:14" x14ac:dyDescent="0.25">
      <c r="A112" t="s">
        <v>218</v>
      </c>
      <c r="B112" t="s">
        <v>219</v>
      </c>
      <c r="C112" s="1">
        <v>45932</v>
      </c>
      <c r="D112" t="s">
        <v>27</v>
      </c>
      <c r="E112" t="s">
        <v>9</v>
      </c>
      <c r="F112" s="7">
        <v>40.159999999999997</v>
      </c>
      <c r="G112" s="6">
        <v>7</v>
      </c>
      <c r="H112" s="6">
        <v>0</v>
      </c>
      <c r="I112" s="1">
        <v>45791</v>
      </c>
      <c r="J112" s="9">
        <f t="shared" si="4"/>
        <v>281.12</v>
      </c>
      <c r="K112" s="9">
        <f t="shared" si="5"/>
        <v>281.12</v>
      </c>
      <c r="L112" t="str">
        <f t="shared" si="6"/>
        <v>RETURNING</v>
      </c>
      <c r="M112" s="9">
        <f t="shared" si="7"/>
        <v>0</v>
      </c>
      <c r="N112" t="str">
        <f>_xlfn.XLOOKUP(B112, 'Task 2'!$E:$E,'Task 2'!$I:$I,"Good",0)</f>
        <v>Good</v>
      </c>
    </row>
    <row r="113" spans="1:14" x14ac:dyDescent="0.25">
      <c r="A113" t="s">
        <v>220</v>
      </c>
      <c r="B113" t="s">
        <v>161</v>
      </c>
      <c r="C113" s="1">
        <v>45814</v>
      </c>
      <c r="D113" t="s">
        <v>18</v>
      </c>
      <c r="E113" t="s">
        <v>36</v>
      </c>
      <c r="F113" s="7">
        <v>90.64</v>
      </c>
      <c r="G113" s="6">
        <v>10</v>
      </c>
      <c r="H113" s="6">
        <v>0.1</v>
      </c>
      <c r="I113" s="1">
        <v>45696</v>
      </c>
      <c r="J113" s="9">
        <f t="shared" si="4"/>
        <v>906.4</v>
      </c>
      <c r="K113" s="9">
        <f t="shared" si="5"/>
        <v>815.76</v>
      </c>
      <c r="L113" t="str">
        <f t="shared" si="6"/>
        <v>RETURNING</v>
      </c>
      <c r="M113" s="9">
        <f t="shared" si="7"/>
        <v>90.64</v>
      </c>
      <c r="N113" t="str">
        <f>_xlfn.XLOOKUP(B113, 'Task 2'!$E:$E,'Task 2'!$I:$I,"Good",0)</f>
        <v>Good</v>
      </c>
    </row>
    <row r="114" spans="1:14" x14ac:dyDescent="0.25">
      <c r="A114" t="s">
        <v>221</v>
      </c>
      <c r="B114" t="s">
        <v>222</v>
      </c>
      <c r="C114" s="1">
        <v>45756</v>
      </c>
      <c r="D114" t="s">
        <v>12</v>
      </c>
      <c r="E114" t="s">
        <v>19</v>
      </c>
      <c r="F114" s="7">
        <v>369.89</v>
      </c>
      <c r="G114" s="6">
        <v>6</v>
      </c>
      <c r="H114" s="6">
        <v>0.2</v>
      </c>
      <c r="I114" s="1">
        <v>45726</v>
      </c>
      <c r="J114" s="9">
        <f t="shared" si="4"/>
        <v>2219.34</v>
      </c>
      <c r="K114" s="9">
        <f t="shared" si="5"/>
        <v>1775.4720000000002</v>
      </c>
      <c r="L114" t="str">
        <f t="shared" si="6"/>
        <v>NEW</v>
      </c>
      <c r="M114" s="9">
        <f t="shared" si="7"/>
        <v>443.86800000000005</v>
      </c>
      <c r="N114" t="str">
        <f>_xlfn.XLOOKUP(B114, 'Task 2'!$E:$E,'Task 2'!$I:$I,"Good",0)</f>
        <v>Good</v>
      </c>
    </row>
    <row r="115" spans="1:14" x14ac:dyDescent="0.25">
      <c r="A115" t="s">
        <v>223</v>
      </c>
      <c r="B115" t="s">
        <v>224</v>
      </c>
      <c r="C115" s="1">
        <v>45987</v>
      </c>
      <c r="D115" t="s">
        <v>12</v>
      </c>
      <c r="E115" t="s">
        <v>36</v>
      </c>
      <c r="F115" s="7">
        <v>404.29</v>
      </c>
      <c r="G115" s="6">
        <v>5</v>
      </c>
      <c r="H115" s="6">
        <v>0.05</v>
      </c>
      <c r="I115" s="1">
        <v>45925</v>
      </c>
      <c r="J115" s="9">
        <f t="shared" si="4"/>
        <v>2021.45</v>
      </c>
      <c r="K115" s="9">
        <f t="shared" si="5"/>
        <v>1920.3775000000001</v>
      </c>
      <c r="L115" t="str">
        <f t="shared" si="6"/>
        <v>RETURNING</v>
      </c>
      <c r="M115" s="9">
        <f t="shared" si="7"/>
        <v>101.07250000000001</v>
      </c>
      <c r="N115" t="str">
        <f>_xlfn.XLOOKUP(B115, 'Task 2'!$E:$E,'Task 2'!$I:$I,"Good",0)</f>
        <v>Good</v>
      </c>
    </row>
    <row r="116" spans="1:14" x14ac:dyDescent="0.25">
      <c r="A116" t="s">
        <v>225</v>
      </c>
      <c r="B116" t="s">
        <v>226</v>
      </c>
      <c r="C116" s="1">
        <v>46022</v>
      </c>
      <c r="D116" t="s">
        <v>8</v>
      </c>
      <c r="E116" t="s">
        <v>19</v>
      </c>
      <c r="F116" s="7">
        <v>71.34</v>
      </c>
      <c r="G116" s="6">
        <v>9</v>
      </c>
      <c r="H116" s="6">
        <v>0.1</v>
      </c>
      <c r="I116" s="1">
        <v>45929</v>
      </c>
      <c r="J116" s="9">
        <f t="shared" si="4"/>
        <v>642.06000000000006</v>
      </c>
      <c r="K116" s="9">
        <f t="shared" si="5"/>
        <v>577.85400000000004</v>
      </c>
      <c r="L116" t="str">
        <f t="shared" si="6"/>
        <v>RETURNING</v>
      </c>
      <c r="M116" s="9">
        <f t="shared" si="7"/>
        <v>64.206000000000003</v>
      </c>
      <c r="N116" t="str">
        <f>_xlfn.XLOOKUP(B116, 'Task 2'!$E:$E,'Task 2'!$I:$I,"Good",0)</f>
        <v>Good</v>
      </c>
    </row>
    <row r="117" spans="1:14" x14ac:dyDescent="0.25">
      <c r="A117" t="s">
        <v>227</v>
      </c>
      <c r="B117" t="s">
        <v>157</v>
      </c>
      <c r="C117" s="1">
        <v>45948</v>
      </c>
      <c r="D117" t="s">
        <v>12</v>
      </c>
      <c r="E117" t="s">
        <v>36</v>
      </c>
      <c r="F117" s="7">
        <v>254.62</v>
      </c>
      <c r="G117" s="6">
        <v>11</v>
      </c>
      <c r="H117" s="6">
        <v>0.05</v>
      </c>
      <c r="I117" s="1">
        <v>45859</v>
      </c>
      <c r="J117" s="9">
        <f t="shared" si="4"/>
        <v>2800.82</v>
      </c>
      <c r="K117" s="9">
        <f t="shared" si="5"/>
        <v>2660.779</v>
      </c>
      <c r="L117" t="str">
        <f t="shared" si="6"/>
        <v>RETURNING</v>
      </c>
      <c r="M117" s="9">
        <f t="shared" si="7"/>
        <v>140.04100000000003</v>
      </c>
      <c r="N117" t="str">
        <f>_xlfn.XLOOKUP(B117, 'Task 2'!$E:$E,'Task 2'!$I:$I,"Good",0)</f>
        <v>Good</v>
      </c>
    </row>
    <row r="118" spans="1:14" x14ac:dyDescent="0.25">
      <c r="A118" t="s">
        <v>228</v>
      </c>
      <c r="B118" t="s">
        <v>229</v>
      </c>
      <c r="C118" s="1">
        <v>45721</v>
      </c>
      <c r="D118" t="s">
        <v>27</v>
      </c>
      <c r="E118" t="s">
        <v>19</v>
      </c>
      <c r="F118" s="7">
        <v>329.69</v>
      </c>
      <c r="G118" s="6">
        <v>10</v>
      </c>
      <c r="H118" s="6">
        <v>0.05</v>
      </c>
      <c r="I118" s="1">
        <v>45701</v>
      </c>
      <c r="J118" s="9">
        <f t="shared" si="4"/>
        <v>3296.9</v>
      </c>
      <c r="K118" s="9">
        <f t="shared" si="5"/>
        <v>3132.0549999999998</v>
      </c>
      <c r="L118" t="str">
        <f t="shared" si="6"/>
        <v>NEW</v>
      </c>
      <c r="M118" s="9">
        <f t="shared" si="7"/>
        <v>164.84500000000003</v>
      </c>
      <c r="N118" t="str">
        <f>_xlfn.XLOOKUP(B118, 'Task 2'!$E:$E,'Task 2'!$I:$I,"Good",0)</f>
        <v>Good</v>
      </c>
    </row>
    <row r="119" spans="1:14" x14ac:dyDescent="0.25">
      <c r="A119" t="s">
        <v>230</v>
      </c>
      <c r="B119" t="s">
        <v>231</v>
      </c>
      <c r="C119" s="1">
        <v>45721</v>
      </c>
      <c r="D119" t="s">
        <v>12</v>
      </c>
      <c r="E119" t="s">
        <v>22</v>
      </c>
      <c r="F119" s="7">
        <v>48.12</v>
      </c>
      <c r="G119" s="6">
        <v>1</v>
      </c>
      <c r="H119" s="6">
        <v>0.05</v>
      </c>
      <c r="I119" s="1">
        <v>45710</v>
      </c>
      <c r="J119" s="9">
        <f t="shared" si="4"/>
        <v>48.12</v>
      </c>
      <c r="K119" s="9">
        <f t="shared" si="5"/>
        <v>45.713999999999999</v>
      </c>
      <c r="L119" t="str">
        <f t="shared" si="6"/>
        <v>NEW</v>
      </c>
      <c r="M119" s="9">
        <f t="shared" si="7"/>
        <v>2.4060000000000001</v>
      </c>
      <c r="N119" t="str">
        <f>_xlfn.XLOOKUP(B119, 'Task 2'!$E:$E,'Task 2'!$I:$I,"Good",0)</f>
        <v>Good</v>
      </c>
    </row>
    <row r="120" spans="1:14" x14ac:dyDescent="0.25">
      <c r="A120" t="s">
        <v>232</v>
      </c>
      <c r="B120" t="s">
        <v>233</v>
      </c>
      <c r="C120" s="1">
        <v>45758</v>
      </c>
      <c r="D120" t="s">
        <v>18</v>
      </c>
      <c r="E120" t="s">
        <v>9</v>
      </c>
      <c r="F120" s="7">
        <v>409.33</v>
      </c>
      <c r="G120" s="6">
        <v>3</v>
      </c>
      <c r="H120" s="6">
        <v>0.05</v>
      </c>
      <c r="I120" s="1">
        <v>45662</v>
      </c>
      <c r="J120" s="9">
        <f t="shared" si="4"/>
        <v>1227.99</v>
      </c>
      <c r="K120" s="9">
        <f t="shared" si="5"/>
        <v>1166.5905</v>
      </c>
      <c r="L120" t="str">
        <f t="shared" si="6"/>
        <v>RETURNING</v>
      </c>
      <c r="M120" s="9">
        <f t="shared" si="7"/>
        <v>61.399500000000003</v>
      </c>
      <c r="N120" t="str">
        <f>_xlfn.XLOOKUP(B120, 'Task 2'!$E:$E,'Task 2'!$I:$I,"Good",0)</f>
        <v>Good</v>
      </c>
    </row>
    <row r="121" spans="1:14" x14ac:dyDescent="0.25">
      <c r="A121" t="s">
        <v>234</v>
      </c>
      <c r="B121" t="s">
        <v>233</v>
      </c>
      <c r="C121" s="1">
        <v>45699</v>
      </c>
      <c r="D121" t="s">
        <v>12</v>
      </c>
      <c r="E121" t="s">
        <v>36</v>
      </c>
      <c r="F121" s="7">
        <v>397.2</v>
      </c>
      <c r="G121" s="6">
        <v>3</v>
      </c>
      <c r="H121" s="6">
        <v>0.15</v>
      </c>
      <c r="I121" s="1">
        <v>45662</v>
      </c>
      <c r="J121" s="9">
        <f t="shared" si="4"/>
        <v>1191.5999999999999</v>
      </c>
      <c r="K121" s="9">
        <f t="shared" si="5"/>
        <v>1012.8599999999999</v>
      </c>
      <c r="L121" t="str">
        <f t="shared" si="6"/>
        <v>RETURNING</v>
      </c>
      <c r="M121" s="9">
        <f t="shared" si="7"/>
        <v>178.73999999999998</v>
      </c>
      <c r="N121" t="str">
        <f>_xlfn.XLOOKUP(B121, 'Task 2'!$E:$E,'Task 2'!$I:$I,"Good",0)</f>
        <v>Good</v>
      </c>
    </row>
  </sheetData>
  <autoFilter ref="A1:L121" xr:uid="{596E5EAD-8895-4590-AD42-7396EEA011A3}"/>
  <conditionalFormatting sqref="N2:N121">
    <cfRule type="cellIs" dxfId="108" priority="1" operator="equal">
      <formula>"High Risk"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8E831F3-4DE2-4BE1-8A7B-4505C5EF9A88}">
            <xm:f>_xlfn.XLOOKUP($B2,'Task 2'!$E:$E, 'Task 2'!$I:$I,"Good")="High Risk"</xm:f>
            <x14:dxf>
              <fill>
                <patternFill>
                  <bgColor rgb="FFFF0000"/>
                </patternFill>
              </fill>
            </x14:dxf>
          </x14:cfRule>
          <xm:sqref>A2:M121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AEE3-1F27-42A2-8A92-D16D555F5B08}">
  <dimension ref="A1:I41"/>
  <sheetViews>
    <sheetView showGridLines="0" workbookViewId="0">
      <selection activeCell="H6" sqref="H6"/>
    </sheetView>
  </sheetViews>
  <sheetFormatPr defaultRowHeight="15" x14ac:dyDescent="0.25"/>
  <cols>
    <col min="1" max="1" width="18.42578125" bestFit="1" customWidth="1"/>
    <col min="2" max="2" width="12.7109375" bestFit="1" customWidth="1"/>
    <col min="3" max="3" width="11.5703125" bestFit="1" customWidth="1"/>
    <col min="4" max="4" width="10.5703125" bestFit="1" customWidth="1"/>
    <col min="5" max="5" width="13.42578125" bestFit="1" customWidth="1"/>
    <col min="6" max="6" width="9" bestFit="1" customWidth="1"/>
    <col min="7" max="7" width="13.28515625" bestFit="1" customWidth="1"/>
    <col min="8" max="8" width="14" bestFit="1" customWidth="1"/>
    <col min="9" max="9" width="20.7109375" bestFit="1" customWidth="1"/>
    <col min="10" max="10" width="19.7109375" bestFit="1" customWidth="1"/>
  </cols>
  <sheetData>
    <row r="1" spans="1:9" ht="15" customHeight="1" x14ac:dyDescent="0.25">
      <c r="A1" s="26" t="s">
        <v>266</v>
      </c>
      <c r="B1" s="27"/>
      <c r="C1" s="11"/>
      <c r="D1" s="11"/>
      <c r="F1" s="24" t="s">
        <v>279</v>
      </c>
      <c r="G1" s="25"/>
      <c r="H1" s="25"/>
    </row>
    <row r="2" spans="1:9" ht="15" customHeight="1" x14ac:dyDescent="0.25">
      <c r="A2" s="28"/>
      <c r="B2" s="29"/>
      <c r="C2" s="11"/>
      <c r="D2" s="11"/>
      <c r="F2" s="25"/>
      <c r="G2" s="25"/>
      <c r="H2" s="25"/>
    </row>
    <row r="3" spans="1:9" ht="15" customHeight="1" x14ac:dyDescent="0.25">
      <c r="A3" s="12"/>
      <c r="B3" s="12"/>
      <c r="C3" s="11"/>
      <c r="D3" s="11"/>
      <c r="F3" s="13"/>
      <c r="G3" s="13"/>
      <c r="H3" s="13"/>
    </row>
    <row r="4" spans="1:9" ht="14.25" customHeight="1" x14ac:dyDescent="0.25">
      <c r="A4" s="10" t="s">
        <v>282</v>
      </c>
      <c r="B4" t="s">
        <v>262</v>
      </c>
      <c r="F4" s="10" t="s">
        <v>281</v>
      </c>
      <c r="G4" t="s">
        <v>280</v>
      </c>
      <c r="H4" t="s">
        <v>283</v>
      </c>
      <c r="I4" t="s">
        <v>288</v>
      </c>
    </row>
    <row r="5" spans="1:9" ht="15.75" customHeight="1" x14ac:dyDescent="0.25">
      <c r="A5" s="23" t="s">
        <v>8</v>
      </c>
      <c r="B5" s="22">
        <v>37818.53149999999</v>
      </c>
      <c r="F5" s="15" t="s">
        <v>267</v>
      </c>
      <c r="G5" s="16">
        <v>6826.0264999999999</v>
      </c>
      <c r="H5" s="18"/>
      <c r="I5" s="16">
        <v>0.17129600740076167</v>
      </c>
    </row>
    <row r="6" spans="1:9" x14ac:dyDescent="0.25">
      <c r="A6" s="21" t="s">
        <v>19</v>
      </c>
      <c r="B6" s="9">
        <v>17103.714499999995</v>
      </c>
      <c r="F6" s="15" t="s">
        <v>268</v>
      </c>
      <c r="G6" s="16">
        <v>6716.8164999999999</v>
      </c>
      <c r="H6" s="18">
        <v>-1.599905889612354E-2</v>
      </c>
      <c r="I6" s="16">
        <v>0.12577650139655716</v>
      </c>
    </row>
    <row r="7" spans="1:9" x14ac:dyDescent="0.25">
      <c r="A7" s="21" t="s">
        <v>22</v>
      </c>
      <c r="B7" s="9">
        <v>10898.6585</v>
      </c>
      <c r="F7" s="15" t="s">
        <v>269</v>
      </c>
      <c r="G7" s="16">
        <v>21783.846000000001</v>
      </c>
      <c r="H7" s="18">
        <v>2.2431801583384035</v>
      </c>
      <c r="I7" s="16">
        <v>9.2607430807911673E-2</v>
      </c>
    </row>
    <row r="8" spans="1:9" x14ac:dyDescent="0.25">
      <c r="A8" s="21" t="s">
        <v>9</v>
      </c>
      <c r="B8" s="9">
        <v>9816.1584999999995</v>
      </c>
      <c r="F8" s="19" t="s">
        <v>270</v>
      </c>
      <c r="G8" s="20">
        <v>18319.991499999996</v>
      </c>
      <c r="H8" s="18">
        <v>-0.15901023630078934</v>
      </c>
      <c r="I8" s="16">
        <v>5.9932342806708769E-2</v>
      </c>
    </row>
    <row r="9" spans="1:9" x14ac:dyDescent="0.25">
      <c r="A9" s="23" t="s">
        <v>12</v>
      </c>
      <c r="B9" s="22">
        <v>33793.960500000001</v>
      </c>
      <c r="F9" s="19" t="s">
        <v>271</v>
      </c>
      <c r="G9" s="20">
        <v>4927.5120000000006</v>
      </c>
      <c r="H9" s="18">
        <v>-0.73103087957218749</v>
      </c>
      <c r="I9" s="16">
        <v>0.13548932676230796</v>
      </c>
    </row>
    <row r="10" spans="1:9" x14ac:dyDescent="0.25">
      <c r="A10" s="21" t="s">
        <v>36</v>
      </c>
      <c r="B10" s="9">
        <v>15209.920000000002</v>
      </c>
      <c r="F10" s="15" t="s">
        <v>272</v>
      </c>
      <c r="G10" s="16">
        <v>15980.371999999999</v>
      </c>
      <c r="H10" s="18">
        <v>2.2430914424967403</v>
      </c>
      <c r="I10" s="16">
        <v>0.11177175177544244</v>
      </c>
    </row>
    <row r="11" spans="1:9" x14ac:dyDescent="0.25">
      <c r="A11" s="21" t="s">
        <v>19</v>
      </c>
      <c r="B11" s="9">
        <v>10546.824999999999</v>
      </c>
      <c r="F11" s="19" t="s">
        <v>273</v>
      </c>
      <c r="G11" s="20">
        <v>13904.462</v>
      </c>
      <c r="H11" s="18">
        <v>-0.12990373440618277</v>
      </c>
      <c r="I11" s="16">
        <v>0.11126055039421162</v>
      </c>
    </row>
    <row r="12" spans="1:9" x14ac:dyDescent="0.25">
      <c r="A12" s="21" t="s">
        <v>9</v>
      </c>
      <c r="B12" s="9">
        <v>8037.2155000000002</v>
      </c>
      <c r="F12" s="15" t="s">
        <v>274</v>
      </c>
      <c r="G12" s="16">
        <v>32008.257999999994</v>
      </c>
      <c r="H12" s="18">
        <v>1.3020134112344652</v>
      </c>
      <c r="I12" s="16">
        <v>0.19525397768813882</v>
      </c>
    </row>
    <row r="13" spans="1:9" x14ac:dyDescent="0.25">
      <c r="A13" s="23" t="s">
        <v>18</v>
      </c>
      <c r="B13" s="22">
        <v>37481.550499999998</v>
      </c>
      <c r="F13" s="19" t="s">
        <v>275</v>
      </c>
      <c r="G13" s="20">
        <v>21798.340499999998</v>
      </c>
      <c r="H13" s="18">
        <v>-0.3189776057166247</v>
      </c>
      <c r="I13" s="16">
        <v>0.17323675523062382</v>
      </c>
    </row>
    <row r="14" spans="1:9" x14ac:dyDescent="0.25">
      <c r="A14" s="21" t="s">
        <v>13</v>
      </c>
      <c r="B14" s="9">
        <v>21021.428499999998</v>
      </c>
      <c r="F14" s="15" t="s">
        <v>276</v>
      </c>
      <c r="G14" s="16">
        <v>22293.2225</v>
      </c>
      <c r="H14" s="18">
        <v>2.2702737394160875E-2</v>
      </c>
      <c r="I14" s="16">
        <v>0.12627439092021089</v>
      </c>
    </row>
    <row r="15" spans="1:9" x14ac:dyDescent="0.25">
      <c r="A15" s="21" t="s">
        <v>19</v>
      </c>
      <c r="B15" s="9">
        <v>8453.2839999999997</v>
      </c>
      <c r="F15" s="19" t="s">
        <v>277</v>
      </c>
      <c r="G15" s="20">
        <v>6644.884</v>
      </c>
      <c r="H15" s="18">
        <v>-0.70193254923104997</v>
      </c>
      <c r="I15" s="16">
        <v>9.0209276056820137E-2</v>
      </c>
    </row>
    <row r="16" spans="1:9" x14ac:dyDescent="0.25">
      <c r="A16" s="21" t="s">
        <v>9</v>
      </c>
      <c r="B16" s="9">
        <v>8006.8379999999997</v>
      </c>
      <c r="F16" s="15" t="s">
        <v>278</v>
      </c>
      <c r="G16" s="16">
        <v>14421.387999999999</v>
      </c>
      <c r="H16" s="18">
        <v>1.1702994363784227</v>
      </c>
      <c r="I16" s="16">
        <v>0.10595696483624532</v>
      </c>
    </row>
    <row r="17" spans="1:9" x14ac:dyDescent="0.25">
      <c r="A17" s="23" t="s">
        <v>27</v>
      </c>
      <c r="B17" s="22">
        <v>40803.657500000001</v>
      </c>
    </row>
    <row r="18" spans="1:9" x14ac:dyDescent="0.25">
      <c r="A18" s="21" t="s">
        <v>36</v>
      </c>
      <c r="B18" s="9">
        <v>16299.363999999998</v>
      </c>
    </row>
    <row r="19" spans="1:9" x14ac:dyDescent="0.25">
      <c r="A19" s="21" t="s">
        <v>22</v>
      </c>
      <c r="B19" s="9">
        <v>12848.057000000001</v>
      </c>
    </row>
    <row r="20" spans="1:9" x14ac:dyDescent="0.25">
      <c r="A20" s="21" t="s">
        <v>9</v>
      </c>
      <c r="B20" s="9">
        <v>11656.236500000001</v>
      </c>
    </row>
    <row r="27" spans="1:9" x14ac:dyDescent="0.25">
      <c r="E27" s="10" t="s">
        <v>265</v>
      </c>
      <c r="F27" t="s">
        <v>286</v>
      </c>
      <c r="G27" t="s">
        <v>287</v>
      </c>
      <c r="H27" t="s">
        <v>288</v>
      </c>
      <c r="I27" s="14" t="s">
        <v>289</v>
      </c>
    </row>
    <row r="28" spans="1:9" x14ac:dyDescent="0.25">
      <c r="E28" s="15" t="s">
        <v>153</v>
      </c>
      <c r="F28" s="16">
        <v>491.07</v>
      </c>
      <c r="G28" s="16">
        <v>1636.9</v>
      </c>
      <c r="H28" s="17">
        <v>0.3</v>
      </c>
      <c r="I28" s="15" t="str">
        <f>IF(H28&gt;0.25,"High Risk","Good")</f>
        <v>High Risk</v>
      </c>
    </row>
    <row r="29" spans="1:9" x14ac:dyDescent="0.25">
      <c r="E29" s="15" t="s">
        <v>15</v>
      </c>
      <c r="F29" s="16">
        <v>672.81000000000006</v>
      </c>
      <c r="G29" s="16">
        <v>2242.7000000000003</v>
      </c>
      <c r="H29" s="17">
        <v>0.3</v>
      </c>
      <c r="I29" s="15" t="str">
        <f t="shared" ref="I29:I41" si="0">IF(H29&gt;0.25,"High Risk","Good")</f>
        <v>High Risk</v>
      </c>
    </row>
    <row r="30" spans="1:9" x14ac:dyDescent="0.25">
      <c r="E30" s="15" t="s">
        <v>163</v>
      </c>
      <c r="F30" s="16">
        <v>244.04999999999998</v>
      </c>
      <c r="G30" s="16">
        <v>813.5</v>
      </c>
      <c r="H30" s="17">
        <v>0.3</v>
      </c>
      <c r="I30" s="15" t="str">
        <f t="shared" si="0"/>
        <v>High Risk</v>
      </c>
    </row>
    <row r="31" spans="1:9" x14ac:dyDescent="0.25">
      <c r="E31" s="15" t="s">
        <v>99</v>
      </c>
      <c r="F31" s="16">
        <v>182.43899999999999</v>
      </c>
      <c r="G31" s="16">
        <v>608.13</v>
      </c>
      <c r="H31" s="17">
        <v>0.3</v>
      </c>
      <c r="I31" s="15" t="str">
        <f t="shared" si="0"/>
        <v>High Risk</v>
      </c>
    </row>
    <row r="32" spans="1:9" x14ac:dyDescent="0.25">
      <c r="E32" s="15" t="s">
        <v>205</v>
      </c>
      <c r="F32" s="16">
        <v>942.83999999999992</v>
      </c>
      <c r="G32" s="16">
        <v>3142.7999999999997</v>
      </c>
      <c r="H32" s="17">
        <v>0.3</v>
      </c>
      <c r="I32" s="15" t="str">
        <f t="shared" si="0"/>
        <v>High Risk</v>
      </c>
    </row>
    <row r="33" spans="5:9" x14ac:dyDescent="0.25">
      <c r="E33" s="15" t="s">
        <v>65</v>
      </c>
      <c r="F33" s="16">
        <v>278.18399999999997</v>
      </c>
      <c r="G33" s="16">
        <v>927.28</v>
      </c>
      <c r="H33" s="17">
        <v>0.3</v>
      </c>
      <c r="I33" s="15" t="str">
        <f t="shared" si="0"/>
        <v>High Risk</v>
      </c>
    </row>
    <row r="34" spans="5:9" x14ac:dyDescent="0.25">
      <c r="E34" s="15" t="s">
        <v>209</v>
      </c>
      <c r="F34" s="16">
        <v>1109.7</v>
      </c>
      <c r="G34" s="16">
        <v>3699</v>
      </c>
      <c r="H34" s="17">
        <v>0.3</v>
      </c>
      <c r="I34" s="15" t="str">
        <f t="shared" si="0"/>
        <v>High Risk</v>
      </c>
    </row>
    <row r="35" spans="5:9" x14ac:dyDescent="0.25">
      <c r="E35" s="15" t="s">
        <v>75</v>
      </c>
      <c r="F35" s="16">
        <v>223.24199999999999</v>
      </c>
      <c r="G35" s="16">
        <v>744.14</v>
      </c>
      <c r="H35" s="17">
        <v>0.3</v>
      </c>
      <c r="I35" s="15" t="str">
        <f t="shared" si="0"/>
        <v>High Risk</v>
      </c>
    </row>
    <row r="36" spans="5:9" x14ac:dyDescent="0.25">
      <c r="E36" s="15" t="s">
        <v>187</v>
      </c>
      <c r="F36" s="16">
        <v>112.32</v>
      </c>
      <c r="G36" s="16">
        <v>374.4</v>
      </c>
      <c r="H36" s="17">
        <v>0.3</v>
      </c>
      <c r="I36" s="15" t="str">
        <f t="shared" si="0"/>
        <v>High Risk</v>
      </c>
    </row>
    <row r="37" spans="5:9" x14ac:dyDescent="0.25">
      <c r="E37" s="15" t="s">
        <v>53</v>
      </c>
      <c r="F37" s="16">
        <v>329.78399999999999</v>
      </c>
      <c r="G37" s="16">
        <v>1099.28</v>
      </c>
      <c r="H37" s="17">
        <v>0.3</v>
      </c>
      <c r="I37" s="15" t="str">
        <f t="shared" si="0"/>
        <v>High Risk</v>
      </c>
    </row>
    <row r="38" spans="5:9" x14ac:dyDescent="0.25">
      <c r="E38" s="15" t="s">
        <v>196</v>
      </c>
      <c r="F38" s="16">
        <v>1188.972</v>
      </c>
      <c r="G38" s="16">
        <v>3963.24</v>
      </c>
      <c r="H38" s="17">
        <v>0.3</v>
      </c>
      <c r="I38" s="15" t="str">
        <f t="shared" si="0"/>
        <v>High Risk</v>
      </c>
    </row>
    <row r="39" spans="5:9" x14ac:dyDescent="0.25">
      <c r="E39" s="15" t="s">
        <v>79</v>
      </c>
      <c r="F39" s="16">
        <v>1463.5319999999999</v>
      </c>
      <c r="G39" s="16">
        <v>4878.4399999999996</v>
      </c>
      <c r="H39" s="17">
        <v>0.3</v>
      </c>
      <c r="I39" s="15" t="str">
        <f t="shared" si="0"/>
        <v>High Risk</v>
      </c>
    </row>
    <row r="40" spans="5:9" x14ac:dyDescent="0.25">
      <c r="E40" s="15" t="s">
        <v>119</v>
      </c>
      <c r="F40" s="16">
        <v>287.06399999999996</v>
      </c>
      <c r="G40" s="16">
        <v>956.87999999999988</v>
      </c>
      <c r="H40" s="17">
        <v>0.3</v>
      </c>
      <c r="I40" s="15" t="str">
        <f t="shared" si="0"/>
        <v>High Risk</v>
      </c>
    </row>
    <row r="41" spans="5:9" x14ac:dyDescent="0.25">
      <c r="E41" s="15" t="s">
        <v>114</v>
      </c>
      <c r="F41" s="16">
        <v>538.03499999999997</v>
      </c>
      <c r="G41" s="16">
        <v>1793.45</v>
      </c>
      <c r="H41" s="17">
        <v>0.3</v>
      </c>
      <c r="I41" s="15" t="str">
        <f t="shared" si="0"/>
        <v>High Risk</v>
      </c>
    </row>
  </sheetData>
  <mergeCells count="2">
    <mergeCell ref="F1:H2"/>
    <mergeCell ref="A1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692B06-A450-4ACF-87FF-13060B7D48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DATASET CONTEXT</vt:lpstr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onyemadivine50@gmail.com</dc:creator>
  <cp:lastModifiedBy>onyemadivine50@gmail.com</cp:lastModifiedBy>
  <dcterms:created xsi:type="dcterms:W3CDTF">2026-09-03T09:44:44Z</dcterms:created>
  <dcterms:modified xsi:type="dcterms:W3CDTF">2026-09-06T20:20:08Z</dcterms:modified>
</cp:coreProperties>
</file>